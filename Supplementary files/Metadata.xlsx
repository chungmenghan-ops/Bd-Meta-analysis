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s449735/Documents/GitHub/Bd-Meta-analysis/Supplementary files/"/>
    </mc:Choice>
  </mc:AlternateContent>
  <xr:revisionPtr revIDLastSave="0" documentId="13_ncr:1_{57035FB8-F1EF-754B-95D6-477B806C0EAF}" xr6:coauthVersionLast="47" xr6:coauthVersionMax="47" xr10:uidLastSave="{00000000-0000-0000-0000-000000000000}"/>
  <bookViews>
    <workbookView xWindow="0" yWindow="600" windowWidth="25600" windowHeight="13720" activeTab="1" xr2:uid="{206BD728-406A-4804-BCFF-F6BE7796A83A}"/>
  </bookViews>
  <sheets>
    <sheet name="key" sheetId="15" r:id="rId1"/>
    <sheet name="study_info" sheetId="13" r:id="rId2"/>
    <sheet name="trait_info" sheetId="5" r:id="rId3"/>
  </sheets>
  <definedNames>
    <definedName name="_xlnm._FilterDatabase" localSheetId="1" hidden="1">study_info!$A$1:$Y$1</definedName>
    <definedName name="_xlnm._FilterDatabase" localSheetId="2" hidden="1">trait_info!$A$1:$AJ$276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66" i="5" l="1"/>
  <c r="AB266" i="5"/>
  <c r="AD265" i="5"/>
  <c r="AB265" i="5"/>
  <c r="AB79" i="5"/>
  <c r="AD79" i="5"/>
  <c r="AD78" i="5"/>
  <c r="AB78" i="5"/>
  <c r="AB77" i="5"/>
  <c r="AD77" i="5"/>
  <c r="AA19" i="5"/>
  <c r="AC19" i="5"/>
  <c r="AA18" i="5"/>
  <c r="AC18" i="5"/>
  <c r="AA3" i="5"/>
  <c r="AC3" i="5"/>
  <c r="S8" i="13"/>
  <c r="S9" i="13"/>
  <c r="S35" i="13"/>
  <c r="S47" i="13"/>
  <c r="S48" i="13"/>
  <c r="S56" i="13"/>
  <c r="W235" i="5"/>
  <c r="V235" i="5"/>
  <c r="U235" i="5"/>
  <c r="S235" i="5"/>
  <c r="R235" i="5"/>
  <c r="Q235" i="5"/>
  <c r="V234" i="5"/>
  <c r="U234" i="5"/>
  <c r="R234" i="5"/>
  <c r="Q234" i="5"/>
  <c r="AC40" i="5"/>
  <c r="AC39" i="5"/>
  <c r="AC38" i="5"/>
  <c r="AC37" i="5"/>
  <c r="AA39" i="5"/>
  <c r="AA38" i="5"/>
  <c r="AC13" i="5"/>
  <c r="AA13" i="5"/>
  <c r="AC249" i="5"/>
  <c r="AA249" i="5"/>
  <c r="AA215" i="5" l="1"/>
  <c r="M215" i="5"/>
  <c r="L215" i="5"/>
  <c r="AA208" i="5"/>
  <c r="AC208" i="5"/>
  <c r="M208" i="5"/>
  <c r="L208" i="5"/>
  <c r="AA264" i="5"/>
  <c r="AC255" i="5"/>
  <c r="AC275" i="5"/>
  <c r="AA275" i="5"/>
  <c r="AC272" i="5"/>
  <c r="AA272" i="5"/>
  <c r="AC269" i="5"/>
  <c r="AA269" i="5"/>
  <c r="AC274" i="5"/>
  <c r="AA274" i="5"/>
  <c r="AC271" i="5"/>
  <c r="AA271" i="5"/>
  <c r="AC268" i="5"/>
  <c r="AA268" i="5"/>
  <c r="AA267" i="5"/>
  <c r="AC267" i="5"/>
  <c r="M256" i="5"/>
  <c r="M255" i="5"/>
  <c r="L256" i="5"/>
  <c r="L255" i="5"/>
  <c r="AC256" i="5"/>
  <c r="AA256" i="5"/>
  <c r="AA255" i="5"/>
  <c r="AC253" i="5"/>
  <c r="AA253" i="5"/>
  <c r="AC247" i="5"/>
  <c r="AA247" i="5"/>
  <c r="AC241" i="5"/>
  <c r="AA241" i="5"/>
  <c r="AC240" i="5"/>
  <c r="AA240" i="5"/>
  <c r="AC237" i="5"/>
  <c r="AA237" i="5"/>
  <c r="AC236" i="5"/>
  <c r="AA236" i="5"/>
  <c r="AA230" i="5"/>
  <c r="AA229" i="5"/>
  <c r="AC230" i="5"/>
  <c r="AC229" i="5"/>
  <c r="AA224" i="5"/>
  <c r="AA223" i="5"/>
  <c r="AC224" i="5"/>
  <c r="AC223" i="5"/>
  <c r="AA228" i="5"/>
  <c r="AA227" i="5"/>
  <c r="AA222" i="5"/>
  <c r="AA221" i="5"/>
  <c r="AC228" i="5"/>
  <c r="AC227" i="5"/>
  <c r="AC222" i="5"/>
  <c r="AC221" i="5"/>
  <c r="W220" i="5"/>
  <c r="V220" i="5"/>
  <c r="U220" i="5"/>
  <c r="S220" i="5"/>
  <c r="R220" i="5"/>
  <c r="Q220" i="5"/>
  <c r="V217" i="5"/>
  <c r="U217" i="5"/>
  <c r="R217" i="5"/>
  <c r="Q217" i="5"/>
  <c r="M216" i="5"/>
  <c r="L216" i="5"/>
  <c r="M214" i="5"/>
  <c r="L214" i="5"/>
  <c r="M213" i="5"/>
  <c r="L213" i="5"/>
  <c r="M212" i="5"/>
  <c r="L212" i="5"/>
  <c r="AA210" i="5"/>
  <c r="AA211" i="5"/>
  <c r="AA209" i="5"/>
  <c r="AC211" i="5"/>
  <c r="AC210" i="5"/>
  <c r="AC209" i="5"/>
  <c r="M211" i="5"/>
  <c r="L211" i="5"/>
  <c r="M210" i="5"/>
  <c r="L210" i="5"/>
  <c r="M209" i="5"/>
  <c r="L209" i="5"/>
  <c r="AA206" i="5"/>
  <c r="AC206" i="5"/>
  <c r="M205" i="5"/>
  <c r="L205" i="5"/>
  <c r="AC203" i="5"/>
  <c r="AA203" i="5"/>
  <c r="AC195" i="5"/>
  <c r="AC194" i="5"/>
  <c r="AC193" i="5"/>
  <c r="AC192" i="5"/>
  <c r="AC191" i="5"/>
  <c r="AC190" i="5"/>
  <c r="AC189" i="5"/>
  <c r="AC188" i="5"/>
  <c r="AC187" i="5"/>
  <c r="AA195" i="5"/>
  <c r="AA194" i="5"/>
  <c r="AA193" i="5"/>
  <c r="AA192" i="5"/>
  <c r="AA191" i="5"/>
  <c r="AA190" i="5"/>
  <c r="AA189" i="5"/>
  <c r="AA188" i="5"/>
  <c r="AA187" i="5"/>
  <c r="AA179" i="5"/>
  <c r="AA186" i="5"/>
  <c r="AA185" i="5"/>
  <c r="AA184" i="5"/>
  <c r="AA183" i="5"/>
  <c r="AA182" i="5"/>
  <c r="AA181" i="5"/>
  <c r="AA180" i="5"/>
  <c r="AA178" i="5"/>
  <c r="AC186" i="5"/>
  <c r="AC185" i="5"/>
  <c r="AC184" i="5"/>
  <c r="AC183" i="5"/>
  <c r="AC182" i="5"/>
  <c r="AC181" i="5"/>
  <c r="AC180" i="5"/>
  <c r="AC179" i="5"/>
  <c r="AC178" i="5"/>
  <c r="AA168" i="5"/>
  <c r="AA167" i="5"/>
  <c r="AA166" i="5"/>
  <c r="AA165" i="5"/>
  <c r="AA164" i="5"/>
  <c r="AA163" i="5"/>
  <c r="AA162" i="5"/>
  <c r="AA161" i="5"/>
  <c r="AA160" i="5"/>
  <c r="AA159" i="5"/>
  <c r="AA158" i="5"/>
  <c r="AA157" i="5"/>
  <c r="AA156" i="5"/>
  <c r="AC157" i="5"/>
  <c r="AC158" i="5"/>
  <c r="AC159" i="5"/>
  <c r="AC160" i="5"/>
  <c r="AC161" i="5"/>
  <c r="AC162" i="5"/>
  <c r="AC163" i="5"/>
  <c r="AC164" i="5"/>
  <c r="AC165" i="5"/>
  <c r="AC166" i="5"/>
  <c r="AC167" i="5"/>
  <c r="AC168" i="5"/>
  <c r="AC156" i="5"/>
  <c r="AA146" i="5"/>
  <c r="AC103" i="5"/>
  <c r="AC101" i="5"/>
  <c r="AA103" i="5"/>
  <c r="AA101" i="5"/>
  <c r="M139" i="5"/>
  <c r="L139" i="5"/>
  <c r="L138" i="5"/>
  <c r="M138" i="5"/>
  <c r="W136" i="5"/>
  <c r="S136" i="5"/>
  <c r="R136" i="5"/>
  <c r="Q136" i="5"/>
  <c r="V136" i="5"/>
  <c r="U136" i="5"/>
  <c r="AC132" i="5"/>
  <c r="AC131" i="5"/>
  <c r="AC128" i="5"/>
  <c r="AC127" i="5"/>
  <c r="AC122" i="5"/>
  <c r="AC121" i="5"/>
  <c r="AA128" i="5"/>
  <c r="AA127" i="5"/>
  <c r="AA122" i="5"/>
  <c r="AA121" i="5"/>
  <c r="AA126" i="5"/>
  <c r="AA120" i="5"/>
  <c r="AC116" i="5"/>
  <c r="AC115" i="5"/>
  <c r="AC114" i="5"/>
  <c r="AC113" i="5"/>
  <c r="AA116" i="5"/>
  <c r="AA115" i="5"/>
  <c r="AA114" i="5"/>
  <c r="AA113" i="5"/>
  <c r="AC108" i="5"/>
  <c r="AA108" i="5"/>
  <c r="AC107" i="5"/>
  <c r="AA107" i="5"/>
  <c r="AC106" i="5"/>
  <c r="AA106" i="5"/>
  <c r="AC102" i="5"/>
  <c r="AA102" i="5"/>
  <c r="AC100" i="5"/>
  <c r="AA100" i="5"/>
  <c r="L83" i="5"/>
  <c r="AA73" i="5"/>
  <c r="AC91" i="5"/>
  <c r="AC90" i="5"/>
  <c r="AC89" i="5"/>
  <c r="AC82" i="5"/>
  <c r="AC81" i="5"/>
  <c r="AC80" i="5"/>
  <c r="AA91" i="5"/>
  <c r="AA90" i="5"/>
  <c r="AA89" i="5"/>
  <c r="AA80" i="5"/>
  <c r="AA72" i="5"/>
  <c r="AA71" i="5"/>
  <c r="AC73" i="5"/>
  <c r="AC72" i="5"/>
  <c r="AC71" i="5"/>
  <c r="M66" i="5"/>
  <c r="L66" i="5"/>
  <c r="M65" i="5"/>
  <c r="L65" i="5"/>
  <c r="AC62" i="5"/>
  <c r="AC61" i="5"/>
  <c r="AA61" i="5"/>
  <c r="AA62" i="5"/>
  <c r="AC60" i="5"/>
  <c r="AC59" i="5"/>
  <c r="AA60" i="5"/>
  <c r="AA59" i="5"/>
  <c r="AA58" i="5"/>
  <c r="AC58" i="5"/>
  <c r="AC57" i="5"/>
  <c r="AA57" i="5"/>
  <c r="AA56" i="5"/>
  <c r="AC56" i="5"/>
  <c r="AC55" i="5"/>
  <c r="AA55" i="5"/>
  <c r="L67" i="5"/>
  <c r="M68" i="5"/>
  <c r="M67" i="5"/>
  <c r="L68" i="5"/>
  <c r="AC52" i="5"/>
  <c r="AC51" i="5"/>
  <c r="AA52" i="5"/>
  <c r="AA51" i="5"/>
  <c r="AC32" i="5"/>
  <c r="AA32" i="5"/>
  <c r="AC31" i="5"/>
  <c r="AA31" i="5"/>
  <c r="M32" i="5"/>
  <c r="L32" i="5"/>
  <c r="M31" i="5"/>
  <c r="L31" i="5"/>
  <c r="AC26" i="5"/>
  <c r="M26" i="5"/>
  <c r="L26" i="5"/>
  <c r="AA26" i="5"/>
  <c r="AC25" i="5"/>
  <c r="M25" i="5"/>
  <c r="AA25" i="5"/>
  <c r="L25" i="5"/>
  <c r="AA23" i="5"/>
  <c r="AC23" i="5"/>
  <c r="L23" i="5"/>
  <c r="M23" i="5"/>
  <c r="AA22" i="5"/>
  <c r="M22" i="5"/>
  <c r="L22" i="5"/>
  <c r="M21" i="5"/>
  <c r="L21" i="5"/>
  <c r="M20" i="5"/>
  <c r="L20" i="5"/>
  <c r="AC17" i="5"/>
  <c r="AC16" i="5"/>
  <c r="AA17" i="5"/>
  <c r="AA16" i="5"/>
  <c r="M15" i="5"/>
  <c r="L15" i="5"/>
  <c r="U12" i="5"/>
  <c r="W12" i="5" s="1"/>
  <c r="Q12" i="5"/>
  <c r="S1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Joseph.Chung</author>
  </authors>
  <commentList>
    <comment ref="E1" authorId="0" shapeId="0" xr:uid="{BF302134-106A-7B4A-AEEE-E493C70A574F}">
      <text>
        <r>
          <rPr>
            <b/>
            <sz val="10"/>
            <color rgb="FF000000"/>
            <rFont val="Tahoma"/>
            <family val="2"/>
          </rPr>
          <t>Locarion of the research team</t>
        </r>
      </text>
    </comment>
    <comment ref="G1" authorId="0" shapeId="0" xr:uid="{886E27F8-04FE-AF40-B792-56F61013C581}">
      <text>
        <r>
          <rPr>
            <b/>
            <sz val="12"/>
            <color rgb="FF000000"/>
            <rFont val="Aptos Narrow"/>
          </rPr>
          <t>Wild</t>
        </r>
        <r>
          <rPr>
            <sz val="12"/>
            <color rgb="FF000000"/>
            <rFont val="Aptos Narrow"/>
          </rPr>
          <t xml:space="preserve">: collected from the wild or from wild-caught parents 
</t>
        </r>
        <r>
          <rPr>
            <b/>
            <sz val="12"/>
            <color rgb="FF000000"/>
            <rFont val="Aptos Narrow"/>
          </rPr>
          <t>Captive</t>
        </r>
        <r>
          <rPr>
            <sz val="12"/>
            <color rgb="FF000000"/>
            <rFont val="Aptos Narrow"/>
          </rPr>
          <t xml:space="preserve">: from parents born in a laboratory, zoo, or commercial facility
</t>
        </r>
        <r>
          <rPr>
            <b/>
            <sz val="12"/>
            <color rgb="FF000000"/>
            <rFont val="Aptos Narrow"/>
          </rPr>
          <t>Unclear</t>
        </r>
        <r>
          <rPr>
            <sz val="12"/>
            <color rgb="FF000000"/>
            <rFont val="Aptos Narrow"/>
          </rPr>
          <t>: if the origin is unclear</t>
        </r>
        <r>
          <rPr>
            <sz val="12"/>
            <color rgb="FF000000"/>
            <rFont val="Tahoma"/>
            <family val="2"/>
          </rPr>
          <t xml:space="preserve">
</t>
        </r>
      </text>
    </comment>
    <comment ref="H1" authorId="0" shapeId="0" xr:uid="{11FDA97F-03DB-0842-8248-BC74B909759D}">
      <text>
        <r>
          <rPr>
            <sz val="12"/>
            <color rgb="FF000000"/>
            <rFont val="Tahoma"/>
            <family val="2"/>
          </rPr>
          <t xml:space="preserve">Whether focal animals were split from the same clutches or independent cluthes
</t>
        </r>
      </text>
    </comment>
    <comment ref="I1" authorId="0" shapeId="0" xr:uid="{6C039902-E8AF-9341-9E35-A496476B0304}">
      <text>
        <r>
          <rPr>
            <sz val="12"/>
            <color rgb="FF000000"/>
            <rFont val="Tahoma"/>
            <family val="2"/>
          </rPr>
          <t xml:space="preserve">Number of clutches/family/broods used for this treatment
</t>
        </r>
      </text>
    </comment>
    <comment ref="J1" authorId="0" shapeId="0" xr:uid="{03E9481D-EB23-5A4A-B2E1-5387FAA379D4}">
      <text>
        <r>
          <rPr>
            <sz val="12"/>
            <color rgb="FF000000"/>
            <rFont val="Tahoma"/>
            <family val="2"/>
          </rPr>
          <t xml:space="preserve">Number of clutches/family/broods used for this treatment
</t>
        </r>
      </text>
    </comment>
    <comment ref="L1" authorId="0" shapeId="0" xr:uid="{5A55A227-873B-2744-981F-493EA714A7A0}">
      <text>
        <r>
          <rPr>
            <sz val="12"/>
            <color rgb="FF000000"/>
            <rFont val="Aptos Narrow"/>
          </rPr>
          <t xml:space="preserve">Amphibian life stage when the resistance-enhancing or control treatment was applied.
</t>
        </r>
        <r>
          <rPr>
            <b/>
            <sz val="12"/>
            <color rgb="FF000000"/>
            <rFont val="Aptos Narrow"/>
          </rPr>
          <t>Larva</t>
        </r>
        <r>
          <rPr>
            <sz val="12"/>
            <color rgb="FF000000"/>
            <rFont val="Aptos Narrow"/>
          </rPr>
          <t xml:space="preserve">: up to Gosner stage 41
</t>
        </r>
        <r>
          <rPr>
            <b/>
            <sz val="12"/>
            <color rgb="FF000000"/>
            <rFont val="Aptos Narrow"/>
          </rPr>
          <t>Metamorph</t>
        </r>
        <r>
          <rPr>
            <sz val="12"/>
            <color rgb="FF000000"/>
            <rFont val="Aptos Narrow"/>
          </rPr>
          <t xml:space="preserve">: Gosner stage 42-46
</t>
        </r>
        <r>
          <rPr>
            <b/>
            <sz val="12"/>
            <color rgb="FF000000"/>
            <rFont val="Aptos Narrow"/>
          </rPr>
          <t xml:space="preserve">Juvenile: </t>
        </r>
        <r>
          <rPr>
            <sz val="12"/>
            <color rgb="FF000000"/>
            <rFont val="Aptos Narrow"/>
          </rPr>
          <t xml:space="preserve">after Gosner stage 46 before sexual maturation
</t>
        </r>
        <r>
          <rPr>
            <b/>
            <sz val="12"/>
            <color rgb="FF000000"/>
            <rFont val="Aptos Narrow"/>
          </rPr>
          <t xml:space="preserve">Adult: </t>
        </r>
        <r>
          <rPr>
            <sz val="12"/>
            <color rgb="FF000000"/>
            <rFont val="Aptos Narrow"/>
          </rPr>
          <t xml:space="preserve">sexually mature
</t>
        </r>
        <r>
          <rPr>
            <b/>
            <sz val="12"/>
            <color rgb="FF000000"/>
            <rFont val="Aptos Narrow"/>
          </rPr>
          <t>Not applicable</t>
        </r>
        <r>
          <rPr>
            <sz val="12"/>
            <color rgb="FF000000"/>
            <rFont val="Aptos Narrow"/>
          </rPr>
          <t xml:space="preserve">: lack of distinct metamorphic stages
</t>
        </r>
        <r>
          <rPr>
            <sz val="12"/>
            <color rgb="FF000000"/>
            <rFont val="Aptos Narrow"/>
          </rPr>
          <t xml:space="preserve">
</t>
        </r>
      </text>
    </comment>
    <comment ref="N1" authorId="0" shapeId="0" xr:uid="{981323EB-5ED9-3340-939C-A919D96F8E28}">
      <text>
        <r>
          <rPr>
            <sz val="12"/>
            <color rgb="FF000000"/>
            <rFont val="Tahoma"/>
            <family val="2"/>
          </rPr>
          <t xml:space="preserve">Location where post-treatment Bd exposure was conducted
</t>
        </r>
      </text>
    </comment>
    <comment ref="O1" authorId="0" shapeId="0" xr:uid="{93AF4FA8-EF74-0C46-BD88-8C100A90A469}">
      <text>
        <r>
          <rPr>
            <sz val="12"/>
            <color rgb="FF000000"/>
            <rFont val="Tahoma"/>
            <family val="2"/>
          </rPr>
          <t>Name of Bd lineage and/or strain used for post-treatment exposure</t>
        </r>
      </text>
    </comment>
    <comment ref="S1" authorId="0" shapeId="0" xr:uid="{E64C9596-6F30-9C45-A60C-F32AA9070884}">
      <text>
        <r>
          <rPr>
            <sz val="12"/>
            <color rgb="FF000000"/>
            <rFont val="Tahoma"/>
            <family val="2"/>
          </rPr>
          <t>Time difference between treatment application and post-treatment Bd exposure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Joseph.Chung</author>
  </authors>
  <commentList>
    <comment ref="E1" authorId="0" shapeId="0" xr:uid="{47F77DFE-62C6-904A-BDB9-47F014636C51}">
      <text>
        <r>
          <rPr>
            <sz val="12"/>
            <color rgb="FF000000"/>
            <rFont val="Aptos Narrow"/>
          </rPr>
          <t xml:space="preserve">Name of the Bd </t>
        </r>
        <r>
          <rPr>
            <b/>
            <sz val="12"/>
            <color rgb="FF000000"/>
            <rFont val="Aptos Narrow"/>
          </rPr>
          <t>lineage</t>
        </r>
        <r>
          <rPr>
            <sz val="12"/>
            <color rgb="FF000000"/>
            <rFont val="Aptos Narrow"/>
          </rPr>
          <t xml:space="preserve"> and/or </t>
        </r>
        <r>
          <rPr>
            <b/>
            <sz val="12"/>
            <color rgb="FF000000"/>
            <rFont val="Aptos Narrow"/>
          </rPr>
          <t xml:space="preserve">strain </t>
        </r>
        <r>
          <rPr>
            <sz val="12"/>
            <color rgb="FF000000"/>
            <rFont val="Aptos Narrow"/>
          </rPr>
          <t xml:space="preserve">used. Otherwise,  enter 'NA' </t>
        </r>
      </text>
    </comment>
    <comment ref="I1" authorId="0" shapeId="0" xr:uid="{083B9878-2AF1-A843-833F-8A3E93725AEB}">
      <text>
        <r>
          <rPr>
            <sz val="12"/>
            <color rgb="FF000000"/>
            <rFont val="Tahoma"/>
            <family val="2"/>
          </rPr>
          <t xml:space="preserve">For the "infect_clear" treatment, enter the approach used to clear the infection: "heat_clear", "drug_clear", "self-cured". 
</t>
        </r>
        <r>
          <rPr>
            <sz val="12"/>
            <color rgb="FF000000"/>
            <rFont val="Tahoma"/>
            <family val="2"/>
          </rPr>
          <t xml:space="preserve">
</t>
        </r>
        <r>
          <rPr>
            <sz val="12"/>
            <color rgb="FF000000"/>
            <rFont val="Tahoma"/>
            <family val="2"/>
          </rPr>
          <t xml:space="preserve">For the treatment is classified as “natural_chem" produced by microbes or “Probiotic”, specify the species name of the anti-Bd microbe
</t>
        </r>
        <r>
          <rPr>
            <sz val="12"/>
            <color rgb="FF000000"/>
            <rFont val="Tahoma"/>
            <family val="2"/>
          </rPr>
          <t xml:space="preserve">
</t>
        </r>
        <r>
          <rPr>
            <sz val="12"/>
            <color rgb="FF000000"/>
            <rFont val="Tahoma"/>
            <family val="2"/>
          </rPr>
          <t xml:space="preserve">For "other" treatment, specify the details
</t>
        </r>
        <r>
          <rPr>
            <sz val="12"/>
            <color rgb="FF000000"/>
            <rFont val="Tahoma"/>
            <family val="2"/>
          </rPr>
          <t xml:space="preserve">
</t>
        </r>
      </text>
    </comment>
    <comment ref="L1" authorId="0" shapeId="0" xr:uid="{89E4960C-8C30-A14B-850D-BA4EA3E12CA3}">
      <text>
        <r>
          <rPr>
            <sz val="12"/>
            <color rgb="FF000000"/>
            <rFont val="Tahoma"/>
            <family val="2"/>
          </rPr>
          <t xml:space="preserve">Time elapsed between post-treatment Bd exposure and trait measurement
</t>
        </r>
      </text>
    </comment>
    <comment ref="M1" authorId="0" shapeId="0" xr:uid="{265CDAFF-8CE4-1241-9620-E1233DE6FA6A}">
      <text>
        <r>
          <rPr>
            <sz val="12"/>
            <color rgb="FF000000"/>
            <rFont val="Tahoma"/>
            <family val="2"/>
          </rPr>
          <t xml:space="preserve">Time elapsed between post-treatment Bd exposure and trait measurement
</t>
        </r>
      </text>
    </comment>
    <comment ref="AF1" authorId="0" shapeId="0" xr:uid="{DD001754-36B3-FF40-922A-69F79D552A83}">
      <text>
        <r>
          <rPr>
            <sz val="12"/>
            <color rgb="FF000000"/>
            <rFont val="Tahoma"/>
            <family val="2"/>
          </rPr>
          <t>Name of table or Figure where the data is extracted</t>
        </r>
      </text>
    </comment>
    <comment ref="AG1" authorId="0" shapeId="0" xr:uid="{9635EE23-D426-AE43-8B98-85B052E26D38}">
      <text>
        <r>
          <rPr>
            <sz val="12"/>
            <color rgb="FF000000"/>
            <rFont val="Tahoma"/>
            <family val="2"/>
          </rPr>
          <t>If the data was taken from the published raw data, the DOI of the dataset. If not, enter "NA"</t>
        </r>
      </text>
    </comment>
  </commentList>
</comments>
</file>

<file path=xl/sharedStrings.xml><?xml version="1.0" encoding="utf-8"?>
<sst xmlns="http://schemas.openxmlformats.org/spreadsheetml/2006/main" count="7022" uniqueCount="823">
  <si>
    <t>Column name</t>
  </si>
  <si>
    <t>Description</t>
  </si>
  <si>
    <t>Values</t>
  </si>
  <si>
    <t>Unit</t>
  </si>
  <si>
    <t>Example</t>
  </si>
  <si>
    <t>Character</t>
  </si>
  <si>
    <t>NA</t>
  </si>
  <si>
    <t>doi</t>
  </si>
  <si>
    <t>Numeric</t>
  </si>
  <si>
    <t>count</t>
  </si>
  <si>
    <t>split_clutch</t>
  </si>
  <si>
    <t>life_stage_tested</t>
  </si>
  <si>
    <t>trait_details</t>
  </si>
  <si>
    <t>trait_unit</t>
  </si>
  <si>
    <t>Arithmetic mean of the trait measured.</t>
  </si>
  <si>
    <t>Variable (see trait_unit)</t>
  </si>
  <si>
    <t>Sample size used to calculate the "error_trait". This can be the "n_technical_replicates" or the "n_animals".</t>
  </si>
  <si>
    <t>error_type</t>
  </si>
  <si>
    <t>Type of measurement error (standard error, standard deviation, or 95% confidence intervals).</t>
  </si>
  <si>
    <t>data_source</t>
  </si>
  <si>
    <t>Source of the trait data. Indicate the exact location (e.g., Fig. 1B; Fig. S4; Tab. 1, Tab. S4; raw data, etc).</t>
  </si>
  <si>
    <t>data_doi</t>
  </si>
  <si>
    <t>comments</t>
  </si>
  <si>
    <t>notes</t>
  </si>
  <si>
    <t>mortality</t>
  </si>
  <si>
    <t>Factor (3 levels): "wild", "captive", "unclear"</t>
  </si>
  <si>
    <t>If the data was taken from the published raw data, the DOI of the dataset. If not, enter "NA"</t>
  </si>
  <si>
    <t>%</t>
  </si>
  <si>
    <t>life_stage_treated</t>
  </si>
  <si>
    <t>treatment</t>
  </si>
  <si>
    <t>time_interval</t>
  </si>
  <si>
    <t>host_species</t>
  </si>
  <si>
    <t>host_origin</t>
  </si>
  <si>
    <t>Whether the animals were collected from wild or from wild-caught parents ("wild"); OR from parents born in a laboratory, zoo or commercial facilities ("captive"); OR from unclear origin ("unclear")</t>
  </si>
  <si>
    <t>Adams_et_al_2022</t>
  </si>
  <si>
    <t>proportion dead</t>
  </si>
  <si>
    <t>a mix of four strains: TST77; CJB4; CJB5; CJB7</t>
  </si>
  <si>
    <t>laboratory</t>
  </si>
  <si>
    <t>unclear</t>
  </si>
  <si>
    <t>wild</t>
  </si>
  <si>
    <t>Rana draytonii</t>
  </si>
  <si>
    <t>10.1002/ecs2.4294</t>
  </si>
  <si>
    <t>Lab experiment 1</t>
  </si>
  <si>
    <t>10.25349/D9Z020</t>
  </si>
  <si>
    <t>zoospore equivalents</t>
  </si>
  <si>
    <t>(1) One frog was excluded due to a Bd-unrelated cause (2) On Day 21 after Bd re-exposure, all individuals were treated with itraconazole. Therefore, I used the mortality data on Day 21 after Bd re-exposure. (3) Time interval: The treatment lasted 31 days (20 days for Bd infection + 11 days for clearance), and the post-treatment Bd exposure occurred on Day 51. Thus, the time interval is 20 days (51 − 31 = 20).</t>
  </si>
  <si>
    <t>Appendix 1 - Table S2 - Exp 1 - second Bd exposure - 2x infected</t>
  </si>
  <si>
    <t>treat_details</t>
  </si>
  <si>
    <t>Species name (binomial nomenclature, Genus species).</t>
  </si>
  <si>
    <t>Factor (7 levels): "larva", "metamorph", "juvenile", "adult", "cross-stages", "not applicable", "unclear"</t>
  </si>
  <si>
    <t>Unit of the trait measured. If the data was transformed (e.g. Log10), please report the transformed unit here</t>
  </si>
  <si>
    <t>SE</t>
  </si>
  <si>
    <r>
      <rPr>
        <b/>
        <sz val="11"/>
        <color theme="1"/>
        <rFont val="Aptos Narrow"/>
        <scheme val="minor"/>
      </rPr>
      <t xml:space="preserve">Standard deviation (SD), standard error (SE), or 95% confidence intervals (95% CI) of the trait measured:
</t>
    </r>
    <r>
      <rPr>
        <sz val="11"/>
        <color theme="1"/>
        <rFont val="Aptos Narrow"/>
        <scheme val="minor"/>
      </rPr>
      <t>Enter the reported value. Enter "NA" (1) if not reported (2) if the proportion values (e.g., mortality rate, infection rate) were calculated from the raw data file.</t>
    </r>
  </si>
  <si>
    <t>Factor (6 levels): "larva", "metamorph", "juvenile", "adult", "not applicable", "unclear"</t>
  </si>
  <si>
    <t>study_info</t>
  </si>
  <si>
    <t>sheet</t>
  </si>
  <si>
    <t>trait_info</t>
  </si>
  <si>
    <t>study_info &amp; trait_info</t>
  </si>
  <si>
    <t>treat_detail</t>
  </si>
  <si>
    <t>known_sex</t>
  </si>
  <si>
    <t>Factor (2 levels): "Yes", "No"</t>
  </si>
  <si>
    <t>Whether the sex of animals were reported</t>
  </si>
  <si>
    <t>Factor (3 levels): "field", "semi-natural", "laboratory"</t>
  </si>
  <si>
    <t>study_id</t>
  </si>
  <si>
    <t>exp_id</t>
  </si>
  <si>
    <t>extra_exp_info</t>
  </si>
  <si>
    <t>trait_type</t>
  </si>
  <si>
    <t>n_T_animals</t>
  </si>
  <si>
    <t>n_C_animals</t>
  </si>
  <si>
    <t>T_cohort_ID</t>
  </si>
  <si>
    <t>n_T_replicates</t>
  </si>
  <si>
    <t>n_C_replicates</t>
  </si>
  <si>
    <t>C_cohort_ID</t>
  </si>
  <si>
    <t>mean_T_trait</t>
  </si>
  <si>
    <t>mean_C_trait</t>
  </si>
  <si>
    <t>error_C_trait</t>
  </si>
  <si>
    <t>error_T_trait</t>
  </si>
  <si>
    <t>error_T_n</t>
  </si>
  <si>
    <t>error_C_n</t>
  </si>
  <si>
    <t>extra_cohort_info</t>
  </si>
  <si>
    <t>drug concentration: 0.01 mg/mL</t>
  </si>
  <si>
    <t>error_T_n
&amp;
error_C_n</t>
  </si>
  <si>
    <t>error_T_trait
&amp;
error_C_trait</t>
  </si>
  <si>
    <t>mean_T_trait
&amp;
mean_C_trait</t>
  </si>
  <si>
    <t>Number of technical replicates used in this group (T=treatment; C=control)
If the animals undergo treatment (resistance-enhancing or control) and subsequent Bd exposure independently, then n_technical_replicates = n_animals.
If the treated and control animals were exposed to a single pond  for post-treatment Bd exposure (e.g. semi-natural setup), then replicate = 1</t>
  </si>
  <si>
    <t xml:space="preserve">n_T_replicates
&amp;
n_C_replicates
</t>
  </si>
  <si>
    <t>Number of animals used in this group (T = treatment; C = control)</t>
  </si>
  <si>
    <t>n_T_animals
&amp;
n_C_animals</t>
  </si>
  <si>
    <t>How the author(s) described the trait</t>
  </si>
  <si>
    <t>n_T_clutches
&amp;
n_C_clutches</t>
  </si>
  <si>
    <t>Unique identifier used to distinguish independent cohorts of animals (T=treatment; C=control). A cohort refers to a group of animals that were reared and treated in the same way. Different traits measured on the same cohort should share the same cohort_ID. For example, if a study reports mortality, infection rate, and Bd loads on the same group of immunised animals, all three rows are assigned a same cohort_ID. 
Note: (1) This identifier is unique within an experiment, but not across experiments. Therefore, the cohort_ID should always start at 1 for the first treatment group within each experiment (for studies with multiple experiment, there will be an unique exp_id for each experiment). (2) if there are multiple resistance-enhancing treatments, each treatment group has their own cohort_ID (because they were treated differently).</t>
  </si>
  <si>
    <t>T_cohort_ID 
&amp;
C_cohort_ID</t>
  </si>
  <si>
    <t>Considering individuals in 'high density' population only</t>
  </si>
  <si>
    <t>Indicate whether there are additional variables distinguishing exp_IDs but are not captured by other columns.</t>
  </si>
  <si>
    <t>Experiment Identifer, starting from 1 in each study.
For studies involving multiple experiments or species, or studies manipulating additional factors (e.g., diet, population density), assign a new exp_id for each experiment, each species, and each level of manipulation (except for the target treatment manipulation, which will be distinguished by cohort_id).</t>
  </si>
  <si>
    <t>split</t>
  </si>
  <si>
    <t>note</t>
  </si>
  <si>
    <t>10.1038/s41586-024-07582-y</t>
  </si>
  <si>
    <t>10.1111/1365-2664.13974</t>
  </si>
  <si>
    <t>10.1111/1365-2664.14242</t>
  </si>
  <si>
    <t>10.1098/rsos.220810</t>
  </si>
  <si>
    <t>10.1098/rspb.2019.1833</t>
  </si>
  <si>
    <t>10.1038/nature13491</t>
  </si>
  <si>
    <t>10.1534/g3.114.010744</t>
  </si>
  <si>
    <t>10.1098/rspb.2014.2881</t>
  </si>
  <si>
    <t>10.1007/s10393-012-0743-0</t>
  </si>
  <si>
    <t>10.7589/0090-3558-46.1.70</t>
  </si>
  <si>
    <t>10.1038/ismej.2009.27</t>
  </si>
  <si>
    <t>10.1111/1365-2664.14818</t>
  </si>
  <si>
    <t>10.1038/s43705-021-00044-w</t>
  </si>
  <si>
    <t>10.1007/s00248-019-01385-9</t>
  </si>
  <si>
    <t>10.1371/journal.pone.0056747</t>
  </si>
  <si>
    <t>10.1002/eap.1607</t>
  </si>
  <si>
    <t>10.1371/journal.pone.0139848</t>
  </si>
  <si>
    <t>10.3354/dao02505</t>
  </si>
  <si>
    <t>10.1371/journal.pone.0258185</t>
  </si>
  <si>
    <t>10.7589/JWD-D-22-00073</t>
  </si>
  <si>
    <t>10.3354/dao03753</t>
  </si>
  <si>
    <t>10.1098/rsbl.2021.0207</t>
  </si>
  <si>
    <t>10.1111/1365-2656.12769</t>
  </si>
  <si>
    <t>10.1098/rspb.2018.1111</t>
  </si>
  <si>
    <t>10.3389/fmicb.2018.00410</t>
  </si>
  <si>
    <t>10.3354/dao02429</t>
  </si>
  <si>
    <t>10.3354/dao02004</t>
  </si>
  <si>
    <t>10.1128/AEM.01294-09</t>
  </si>
  <si>
    <t>10.1638/2023-0010</t>
  </si>
  <si>
    <t>10.1111/acv.12565</t>
  </si>
  <si>
    <t>drug_clear</t>
  </si>
  <si>
    <t>Factor (3 levels): "split", "independent", "unclear"</t>
  </si>
  <si>
    <t xml:space="preserve">(1) one individuals in the treatment group died during the immunisation period (unrelated to Bd). This individual was excluded in the mortality analysis during post-treatment Bd exposure. (2) On Day 21 after Bd re-exposure, all individuals were treated with itraconazole. Therefore, I used the mortality data on Day 21 after Bd re-exposure. </t>
  </si>
  <si>
    <t>Appendix 1 -&gt; Table S2 -&gt; Exp 1, second Bd exposure -&gt; 1x infected (control) vs 2x infected (immunised)</t>
  </si>
  <si>
    <t>(1) the average Bd laods reported in the main text were the mean by all the swab samples, which includes severage measurement of the same individuals at different time points, resulting in different weights of each individuals (e.g. some measured once, some measured twice). I manually find the peak from the raw data file, the time_post_Bd was taken from average from peak measurement for each individual
(2) the starting date (12/4/2017) of the second Bd exposure was estimated by Figure 2(a). The second Bd measurement (which looked like peak but acutally not) during the second exposure is 27/4/2017 (based on Adams_etal_2022_Frog_Lab_Data), which was 15 days after the Bd re-exposure (estimated using ShinyDigitise)</t>
  </si>
  <si>
    <t>peak ZE value</t>
  </si>
  <si>
    <t>SD</t>
  </si>
  <si>
    <t>Infect_clear once (2x individual)</t>
  </si>
  <si>
    <t>infect_clear twice (3x individual)</t>
  </si>
  <si>
    <t>Appendix 1 -&gt; Table S2 -&gt; Exp 2 -&gt; 1x infected (control) vs 2x infected (immunised)</t>
  </si>
  <si>
    <t>Appendix 1 -&gt; Table S2 -&gt; Exp 2 -&gt; 1x infected (control) vs 3x infected (immunised)</t>
  </si>
  <si>
    <t>How the author(s) described the experiment or how the experiment was defined</t>
  </si>
  <si>
    <t>probiotic</t>
  </si>
  <si>
    <t>Korpita_PhD_thesis</t>
  </si>
  <si>
    <r>
      <t>Amphibian life stage when the treatment was applied. 
"</t>
    </r>
    <r>
      <rPr>
        <b/>
        <sz val="11"/>
        <color theme="1"/>
        <rFont val="Aptos Narrow"/>
        <scheme val="minor"/>
      </rPr>
      <t>Larva</t>
    </r>
    <r>
      <rPr>
        <sz val="11"/>
        <color theme="1"/>
        <rFont val="Aptos Narrow"/>
        <scheme val="minor"/>
      </rPr>
      <t>": up to Gosner stage 41 (no forelimbs), 
"</t>
    </r>
    <r>
      <rPr>
        <b/>
        <sz val="11"/>
        <color theme="1"/>
        <rFont val="Aptos Narrow"/>
        <scheme val="minor"/>
      </rPr>
      <t>Metamorph</t>
    </r>
    <r>
      <rPr>
        <sz val="11"/>
        <color theme="1"/>
        <rFont val="Aptos Narrow"/>
        <scheme val="minor"/>
      </rPr>
      <t>": Gosner stage 42-46 (forelimb emergence to tail resoprtion), 
"</t>
    </r>
    <r>
      <rPr>
        <b/>
        <sz val="11"/>
        <color theme="1"/>
        <rFont val="Aptos Narrow"/>
        <scheme val="minor"/>
      </rPr>
      <t>Juvenile</t>
    </r>
    <r>
      <rPr>
        <sz val="11"/>
        <color theme="1"/>
        <rFont val="Aptos Narrow"/>
        <scheme val="minor"/>
      </rPr>
      <t>": after Gosner stage 46 (no tail) before sexual maturation (including newly metamorphosed, toadlet, froglet) 
"</t>
    </r>
    <r>
      <rPr>
        <b/>
        <sz val="11"/>
        <color theme="1"/>
        <rFont val="Aptos Narrow"/>
        <scheme val="minor"/>
      </rPr>
      <t>Adult</t>
    </r>
    <r>
      <rPr>
        <sz val="11"/>
        <color theme="1"/>
        <rFont val="Aptos Narrow"/>
        <scheme val="minor"/>
      </rPr>
      <t>": sexually mature
"</t>
    </r>
    <r>
      <rPr>
        <b/>
        <sz val="11"/>
        <color theme="1"/>
        <rFont val="Aptos Narrow"/>
        <scheme val="minor"/>
      </rPr>
      <t>Not applicable"</t>
    </r>
    <r>
      <rPr>
        <sz val="11"/>
        <color theme="1"/>
        <rFont val="Aptos Narrow"/>
        <scheme val="minor"/>
      </rPr>
      <t>: species lacks distinct metamorphic stages (e.g. direct-developing frogs, paedomorphic salamanders). If the authors still refer to these species as  "Juvenile" or "Adult", use the authors' terminology</t>
    </r>
  </si>
  <si>
    <r>
      <t>Life stage when the trait was reported
"</t>
    </r>
    <r>
      <rPr>
        <b/>
        <sz val="11"/>
        <color theme="1"/>
        <rFont val="Aptos Narrow"/>
        <scheme val="minor"/>
      </rPr>
      <t>Larva</t>
    </r>
    <r>
      <rPr>
        <sz val="11"/>
        <color theme="1"/>
        <rFont val="Aptos Narrow"/>
        <scheme val="minor"/>
      </rPr>
      <t>": up to Gosner stage 41 (no forelimbs), 
"</t>
    </r>
    <r>
      <rPr>
        <b/>
        <sz val="11"/>
        <color theme="1"/>
        <rFont val="Aptos Narrow"/>
        <scheme val="minor"/>
      </rPr>
      <t>Metamorph</t>
    </r>
    <r>
      <rPr>
        <sz val="11"/>
        <color theme="1"/>
        <rFont val="Aptos Narrow"/>
        <scheme val="minor"/>
      </rPr>
      <t>": Gosner stage 42-46 (forelimb emergence to tail resoprtion), 
"</t>
    </r>
    <r>
      <rPr>
        <b/>
        <sz val="11"/>
        <color theme="1"/>
        <rFont val="Aptos Narrow"/>
        <scheme val="minor"/>
      </rPr>
      <t>Juvenile</t>
    </r>
    <r>
      <rPr>
        <sz val="11"/>
        <color theme="1"/>
        <rFont val="Aptos Narrow"/>
        <scheme val="minor"/>
      </rPr>
      <t>": after Gosner stage 46 (no tail) before sexual maturation (including newly metamorphosed, toadlet, froglet) 
"</t>
    </r>
    <r>
      <rPr>
        <b/>
        <sz val="11"/>
        <color theme="1"/>
        <rFont val="Aptos Narrow"/>
        <scheme val="minor"/>
      </rPr>
      <t>Adult</t>
    </r>
    <r>
      <rPr>
        <sz val="11"/>
        <color theme="1"/>
        <rFont val="Aptos Narrow"/>
        <scheme val="minor"/>
      </rPr>
      <t>": sexually mature
"</t>
    </r>
    <r>
      <rPr>
        <b/>
        <sz val="11"/>
        <color theme="1"/>
        <rFont val="Aptos Narrow"/>
        <scheme val="minor"/>
      </rPr>
      <t>Not applicable"</t>
    </r>
    <r>
      <rPr>
        <sz val="11"/>
        <color theme="1"/>
        <rFont val="Aptos Narrow"/>
        <scheme val="minor"/>
      </rPr>
      <t>: species lacks distinct metamorphic stages (e.g. direct-developing frogs, paedomorphic salamanders). If the authors still refer to these species as  "Juvenile" or "Adult", use the authors' terminology</t>
    </r>
  </si>
  <si>
    <t>Janthinobacterium lividum</t>
  </si>
  <si>
    <t>Bd prevelence</t>
  </si>
  <si>
    <t>(1) The animals were always placed in a Bd-existing pond, but they were all uninfected at the start of the experiment (Day 1 in supplemental Table B.5). I therefore consider the start date of post-treatment Bd exposure to be the end date of probiotic treatment (Day 4). (2) Time_post_Bd: Day 15 (trait measurement with peak value compared to Day 8) - Day 4 (the start of post-treatment Bd exposure) = 11 days</t>
  </si>
  <si>
    <t>mean Bd loads</t>
  </si>
  <si>
    <t>Supplemental Table B.5 -&gt; Experiemtnal Day of Sampling = 15</t>
  </si>
  <si>
    <t>Waddle_et_al_2024</t>
  </si>
  <si>
    <t>heat_clear</t>
  </si>
  <si>
    <t>Fig 2a</t>
  </si>
  <si>
    <t>Yanchep-Litoria moorei-2019-RW’, AUS 79</t>
  </si>
  <si>
    <t>(1) one of the 23 frogs in infect_clear treatment died before Bd re-exposure. The mortality data excluded this animal, so total n = 22; (2) Time_post_Bd = 14 weeks (the entire period of post-treatment Bd exposure)</t>
  </si>
  <si>
    <t xml:space="preserve">Bd-specific internal transcribed spacer (ITS) </t>
  </si>
  <si>
    <t>proportion non-recaptured</t>
  </si>
  <si>
    <t>Treated animals were infect_clear once or twice (see Supplementary Table 1)</t>
  </si>
  <si>
    <t>(1) In the text: "At week 15, we recaptured similar numbers of frogs from unshaded greenhouse and shaded greenhouse mesocosms (59/80 and 58/80 frogs, respectively)". I used the number 59 and 58 to find the control (called "naive") versus immunised animals (called "prior-exposure") in Source_Data_Fig3. (2) I calculated the total number of Bd load measurement (= ITS) and treated it as "the number of survivors" because the dead animals cannot be measured. (3) Time_post_Bd = 15 weeks</t>
  </si>
  <si>
    <t>Source_Data_Fig2, calculated by R</t>
  </si>
  <si>
    <t>Source_Data_Fig3, calculated by R</t>
  </si>
  <si>
    <t>peak infection intensity</t>
  </si>
  <si>
    <t>JEL-427-P39</t>
  </si>
  <si>
    <t>natural_chem</t>
  </si>
  <si>
    <t>Waddle_et_al_2021</t>
  </si>
  <si>
    <t>other</t>
  </si>
  <si>
    <t>Inoculated with low-virulence Bd strain (without clearance), but low-virulence Bd inoculation does not cause chytridiomycosis</t>
  </si>
  <si>
    <t>Secition Line Lake (SLL)</t>
  </si>
  <si>
    <t>peak infection prevalence</t>
  </si>
  <si>
    <t xml:space="preserve">Rana_onca_SLL_Vaccine_(dryad) -&gt; Treatment = "SLL , LC63 exposed"; Control = "Naïve LC63 exposed" -&gt; only considering Bd negative animals before challenged with LC63 (i.e. W0 value should be "0") -&gt; Week12 data (null = dead).
</t>
  </si>
  <si>
    <t xml:space="preserve">Rana_onca_SLL_Vaccine_(dryad) -&gt; Treatment = "SLL , LC63 exposed"; Control = "Naïve LC63 exposed" -&gt; only considering Bd negative animals before challenged with LC63 (i.e. W0 value should be "0") -&gt; Week 4 (all individuals were infected)
</t>
  </si>
  <si>
    <t>peak Bd loads</t>
  </si>
  <si>
    <t xml:space="preserve">Rana_onca_SLL_Vaccine_(dryad) -&gt; Treatment = "SLL , LC63 exposed"; Control = "Naïve LC63 exposed" -&gt; only considering Bd negative animals before challenged with LC63 (i.e. W0 value should be "0") -&gt; find the peak ZE for each individual, with the associated week measured-&gt; Take the average
</t>
  </si>
  <si>
    <t xml:space="preserve">10.5061/dryad.83bk3j9rw </t>
  </si>
  <si>
    <t>isolate SMR (from Pseudacris regilla)</t>
  </si>
  <si>
    <t>isolate CL (from Pseudacris triseriata)</t>
  </si>
  <si>
    <t>treatment (Bd-drug-Bd) versus control (sham-drug-Bd)</t>
  </si>
  <si>
    <t>treatment (sham-drug-Bd) versus control (sham-sham-Bd)</t>
  </si>
  <si>
    <t>Rana_onca_prior_exposure_(dryad) -&gt; Treatment = "Vaccine 1 (SMR-ITRA-SMR)"; Control = "Control (itraconazole - SMR)" -&gt; Week 20 (NULL = death)</t>
  </si>
  <si>
    <t xml:space="preserve">Rana_onca_prior_exposure_(dryad) -&gt; Treatment = "Vaccine 1 (SMR-ITRA-SMR)"; Control = "Control (itraconazole - SMR)" -&gt; find the peak ZE for each individual, with the associated week measured-&gt; Take the average
</t>
  </si>
  <si>
    <t xml:space="preserve">Rana_onca_prior_exposure_(dryad) -&gt; Treatment = "Control (itraconazole - SMR)"; Control = "Control (Bd-SMR)" -&gt; find the peak ZE for each individual, with the associated week measured-&gt; Take the average
</t>
  </si>
  <si>
    <t>Rana_onca_prior_exposure_(dryad) -&gt; Treatment = "Control (itraconazole - SMR)"; Control = "Control (Bd-SMR)" -&gt; Week 20 (NULL = death)</t>
  </si>
  <si>
    <t>Rana_pipiens_prior_exposure_(dryad) -&gt; Treatment = "CL-Itra-CL"; Control = "Itra-CL" -&gt; Week 20 (NULL = death)</t>
  </si>
  <si>
    <t>Rana_pipiens_prior_exposure_(dryad) -&gt; Treatment = "Itra-CL"; Control = "CL" -&gt; Week 20 (NULL = death)</t>
  </si>
  <si>
    <t>(1) peak Bd loads were estimated among the multiple measurements of each individual across different weeks. Even if the animals were dead at the end of the experiment, once its infection status has been measured once (= all animals) then peak Bd loads can be calculated. Therefore, n_animals = 12</t>
  </si>
  <si>
    <t xml:space="preserve">Rana_pipiens_prior_exposure_(dryad) -&gt;Treatment = "CL-Itra-CL"; Control = "Itra-CL" -&gt; find the peak ZE for each individual, with the associated week measured-&gt; Take the average
</t>
  </si>
  <si>
    <t xml:space="preserve">Rana_pipiens_prior_exposure_(dryad) -&gt; Treatment = "Itra-CL"; Control = "CL" -&gt; find the peak ZE for each individual, with the associated week measured-&gt; Take the average
</t>
  </si>
  <si>
    <t>10.1038/s41467-020-19241-7</t>
  </si>
  <si>
    <t>Greener_et_al_2020</t>
  </si>
  <si>
    <t>BdGPL-BE1</t>
  </si>
  <si>
    <t>BdGPL-BE3</t>
  </si>
  <si>
    <t>BdGPL-BE4</t>
  </si>
  <si>
    <t>BdGPL-BE5</t>
  </si>
  <si>
    <t>Inoculated with low-virulence Bd strain (without clearance), but low-virulence Bd inoculation does not cause infection</t>
  </si>
  <si>
    <t>genomic equivalent</t>
  </si>
  <si>
    <t>Source Data -&gt; Figure 3a sheet -&gt; Reinfection Alytes: loads and survival -&gt; peak "Load_dec" for each individual -&gt; Take average of the peak value per "Isolate" with the average of the associated "Time".</t>
  </si>
  <si>
    <t>Nordheim_et_al_2022</t>
  </si>
  <si>
    <t>Location of the research team. If unclear in the main text, enter the location of the first author's affiliation</t>
  </si>
  <si>
    <t>JEL 419 (isolated in Panamá)</t>
  </si>
  <si>
    <t>Result text: "no mortalities"</t>
  </si>
  <si>
    <t>infection rate at the end of experiment</t>
  </si>
  <si>
    <t>McMahon.csv</t>
  </si>
  <si>
    <t xml:space="preserve">10.5061/dryad.p2ngf1vt4 </t>
  </si>
  <si>
    <t>Bd load at the end of experiment</t>
  </si>
  <si>
    <t>infection intensity</t>
  </si>
  <si>
    <t>Raw data from the author, calculated by R</t>
  </si>
  <si>
    <t>Stenotrophomonas maltophilia (anti-Bd)</t>
  </si>
  <si>
    <t>cumulative dead</t>
  </si>
  <si>
    <t>Kaganer_et_al_2023</t>
  </si>
  <si>
    <t>JEL422 (from Sachatamia albomaculata)</t>
  </si>
  <si>
    <t>"Topical": killed Bd pipetted onto flank skin</t>
  </si>
  <si>
    <t>"Oral": killed Bd pipette into oral cavity</t>
  </si>
  <si>
    <t>Madison_et_al_2019</t>
  </si>
  <si>
    <t>Serratia marcescens (wild-type; can produce prodigiosin)</t>
  </si>
  <si>
    <t>Serratia marcescens (mutant; cannot produce prodigiosin)</t>
  </si>
  <si>
    <t>proprotion dead</t>
  </si>
  <si>
    <t>Supplementary Materials (rspb20191833supp5.csv) -&gt; calculated by R</t>
  </si>
  <si>
    <t>Treatment type is poorly reported in the raw data, which will need to refer to supplementary figure legends</t>
  </si>
  <si>
    <t>Robak_and_Richards-Zawacki_2018</t>
  </si>
  <si>
    <t>Figure S2 (f) -&gt; using "shinyDigitise" in R to extract</t>
  </si>
  <si>
    <t>Figure S2 (e) -&gt; using "shinyDigitise" in R to extract</t>
  </si>
  <si>
    <t>Table 1 for sample size</t>
  </si>
  <si>
    <t>mean probability of infection over the 9 weeks</t>
  </si>
  <si>
    <t>Figure 1(A) -&gt; using "shinyDigitise" in R to extract</t>
  </si>
  <si>
    <t># of log10 (plasmid equivalents + 1)</t>
  </si>
  <si>
    <t>Mean Bd laods over 9 weeks</t>
  </si>
  <si>
    <t>Hauser_et_al_2024</t>
  </si>
  <si>
    <t>Figure 3(E) -&gt; using "shinyDigitise" in R to extract</t>
  </si>
  <si>
    <t>Figure 8(F) -&gt; using "shinyDigitise" in R to extract</t>
  </si>
  <si>
    <t># of log₁₀(zoospore genomic equivalents*10^5 / μL DNA)</t>
  </si>
  <si>
    <t># of zoospore genomic equivalents*10^5 / μL DNA</t>
  </si>
  <si>
    <t>Enriching cutaneous mast cells</t>
  </si>
  <si>
    <t>Enriching pleotropic anti-inflammatory cytokine</t>
  </si>
  <si>
    <t>McMahon_et_al_2014</t>
  </si>
  <si>
    <t>10.2741/e8</t>
  </si>
  <si>
    <t>SRS812 (from Rana catesbeiana)</t>
  </si>
  <si>
    <t>Infect_clear once (2 Bd exposure)</t>
  </si>
  <si>
    <t>infect_clear three times (4 Bd exposure)</t>
  </si>
  <si>
    <t>dead Bd inoculation once (2 Bd exposure)</t>
  </si>
  <si>
    <t>dead Bd inoculation twice (3 Bd exposure)</t>
  </si>
  <si>
    <t>dead Bd inoculation three times (4 Bd exposure)</t>
  </si>
  <si>
    <t>infect_clear twice (3 Bd exposure)</t>
  </si>
  <si>
    <t>Extended Data Table 3</t>
  </si>
  <si>
    <t xml:space="preserve">time_post_Bd = Values are for prevalence at the end of exposure period 4 (= after 6 weeks) for the second immunological resistance experiment </t>
  </si>
  <si>
    <t>mean Bd abundance at the end of this exposure period</t>
  </si>
  <si>
    <t># of zoospore genome equivalents (GE) / g of frog</t>
  </si>
  <si>
    <t>Fig 2b -&gt; calculated using "ShinyDigitise" in R</t>
  </si>
  <si>
    <t># of log 10 (zoospore genome equivalents (GE) / g of frog)</t>
  </si>
  <si>
    <t>Cashins_et_al_2013</t>
  </si>
  <si>
    <t>unclear (from wild Litoria booroolongensis)</t>
  </si>
  <si>
    <t>Table 1</t>
  </si>
  <si>
    <t>infection rate of survivor 70 days post-Bd exposure (excluding death and those that cleared infection)</t>
  </si>
  <si>
    <t>Bd infection rate (survivors) at the end of the experiment, excluding those who first infected and cleared before the end of the experiment</t>
  </si>
  <si>
    <t># of log 10 (zoospores + 1)</t>
  </si>
  <si>
    <t>Infected survivor only (see text in Results)</t>
  </si>
  <si>
    <t>Mean intensity at each testing day</t>
  </si>
  <si>
    <t>Rollins-Smith_et_al_2009</t>
  </si>
  <si>
    <t>Table 3</t>
  </si>
  <si>
    <t>Ellison_et_al_2014</t>
  </si>
  <si>
    <t>two "survived-infected" treated frogs: one never infected, one infected but then cleared</t>
  </si>
  <si>
    <t>infection rate after 8 day post-exposure</t>
  </si>
  <si>
    <t>Results -&gt; Experimental infections</t>
  </si>
  <si>
    <t>(1) potential selection bias: the treatment frogs were only included those who survived after the initial exposure to JEL-427-P39 (note: 2 survived and 28 died during the initial Bd exposure; Langhammer et al. 2013 PLOS One). (2) The animals seem the same as those used in DiRenzo et al (2014) PLoS One</t>
  </si>
  <si>
    <t>All Bd-exposed frogs died beteen 22 and 33 days (so time_post_Bd = the mid-point = 27.5 days)</t>
  </si>
  <si>
    <t>Becker_et_al_2015</t>
  </si>
  <si>
    <t>Chryseobacterium sp.</t>
  </si>
  <si>
    <t>Pseudomonas sp. 1</t>
  </si>
  <si>
    <t>Pseudomonas sp. 2</t>
  </si>
  <si>
    <t>Stenotrophomonas sp.</t>
  </si>
  <si>
    <t>Fig 1 -&gt; calculated by "ShinyDigitise" in R</t>
  </si>
  <si>
    <t>One treated animal died for non-Bd causes. The authors excluded it from all analyses (n = 8-1 =7)</t>
  </si>
  <si>
    <t>One treated animal was noninfected, and the authors excluded it from all analyses (n=8-1=7)</t>
  </si>
  <si>
    <t>Table S2 -&gt; infected N (= predicted to die + predicted to clear) / total survivor N  (= total - died)</t>
  </si>
  <si>
    <t>Janthinobacterium lividum (from Hemidactylium scutatum)</t>
  </si>
  <si>
    <t>Fig 2 -&gt; calculated by "ShinyDigitise" in R</t>
  </si>
  <si>
    <t># of log 10 (genomic equivalent)</t>
  </si>
  <si>
    <t>one treated animals died on Day 84</t>
  </si>
  <si>
    <t>one treated animals died on Day 111</t>
  </si>
  <si>
    <t>infection rate</t>
  </si>
  <si>
    <t>Pathogen load</t>
  </si>
  <si>
    <t># of Bd Internal Transcribed Spacer 1 (ITS1) copies</t>
  </si>
  <si>
    <t>Result "Survival" and Fig 1a</t>
  </si>
  <si>
    <t>Result text</t>
  </si>
  <si>
    <t># log10 (zoospore equivalents)</t>
  </si>
  <si>
    <t>Fig 1c -&gt; calculated by "ShinyDigitise" in R</t>
  </si>
  <si>
    <t>Becker_et_al_2021</t>
  </si>
  <si>
    <t>Fig 4c -&gt; calculated by "ShinyDigitise" in R</t>
  </si>
  <si>
    <t>Results text</t>
  </si>
  <si>
    <t>time_post_Bd: There were three Bd testing time points (week 0, 4, and 8), and the results showed that all Bd-exposed animals became infected. Therefore, I used the average time during the 8-week period, which is 4 weeks (i.e. 28 days).</t>
  </si>
  <si>
    <t xml:space="preserve">sample size = the number of survivors = total N * survival proportion on Day56 in Fig 4c </t>
  </si>
  <si>
    <t># of log 10 (zoospores equivalents + 1)</t>
  </si>
  <si>
    <t>Fig 4b -&gt; calculated by "ShinyDigitise" in R</t>
  </si>
  <si>
    <t>Stice_and_Briggs_2010</t>
  </si>
  <si>
    <t>LJR199 (from Rana muscosa)</t>
  </si>
  <si>
    <t>Fraction dead</t>
  </si>
  <si>
    <t>FCA/FIA:killed Bd = injection of formalin-killed Bd + Freunds Complete Adjuvant (FCA), and a month later injection of formalin-killed Bd + Freunds Imcomplete Adjuvant (FIA). The author assume that adjuvants with haptens (e.g. killed Bd) may trigger adaptive immunity</t>
  </si>
  <si>
    <t>Treated = "FCA/FIA:killed Bd", Control = "FCA/FIA saline"</t>
  </si>
  <si>
    <t>Fraction infected</t>
  </si>
  <si>
    <t>Maximum Bd load</t>
  </si>
  <si>
    <t># of Bd DNA copies</t>
  </si>
  <si>
    <t>T_cohort_id = 2 is the same as C_cohort_id = 1 (Treated = Itranazole-treated only)</t>
  </si>
  <si>
    <t>The effect of immunisation: Control = "Treated" and treatment = "inoculated" in Fig 1</t>
  </si>
  <si>
    <t>The effect of itraconazole: Control = "Naive" and treatment = "Treated" in Fig 1</t>
  </si>
  <si>
    <t>Bacillus thuringiensis subsp. Kurstaki</t>
  </si>
  <si>
    <t>infection prevalence</t>
  </si>
  <si>
    <t>Bd load</t>
  </si>
  <si>
    <t># of zoospore genomic equivalents</t>
  </si>
  <si>
    <t>10.1186/s42523-020-00053-5</t>
  </si>
  <si>
    <t>Weeks_et_al_2020</t>
  </si>
  <si>
    <t>Result -&gt; Bd infection</t>
  </si>
  <si>
    <t>Result -&gt; first section</t>
  </si>
  <si>
    <t>McMahon_et_al_2024</t>
  </si>
  <si>
    <t>JEL270 (California strain)</t>
  </si>
  <si>
    <t>100 zoospore_removed/mL * 1 week</t>
  </si>
  <si>
    <t>100 zoospore_removed/mL * 3 weeks</t>
  </si>
  <si>
    <t>100 zoospore_removed/mL * 5 weeks</t>
  </si>
  <si>
    <t>1,000 zoospore_removed/mL * 3 weeks</t>
  </si>
  <si>
    <t>10,000 zoospore_removed/mL * 1 weeks</t>
  </si>
  <si>
    <t>10,000 zoospore_removed/mL * 2 weeks</t>
  </si>
  <si>
    <t>10,000 zoospore_removed/mL * 3 weeks</t>
  </si>
  <si>
    <t>10,000 zoospore_removed/mL * 4 weeks</t>
  </si>
  <si>
    <t>10,000 zoospore_removed/mL * 5 weeks</t>
  </si>
  <si>
    <t>100,000 zoospore_removed/mL * 3 weeks</t>
  </si>
  <si>
    <t>1,000,000 zoospore_removed/mL * 1 weeks</t>
  </si>
  <si>
    <t>1,000,000 zoospore_removed/mL * 3 weeks</t>
  </si>
  <si>
    <t>1,000,000 zoospore_removed/mL * 5 weeks</t>
  </si>
  <si>
    <t>Raw data (5x5_JAPPL-2024-00099) --&gt; analysed by R</t>
  </si>
  <si>
    <t xml:space="preserve">10.5061/dryad.9zw3r22qn </t>
  </si>
  <si>
    <t>I only cosidered the survivors</t>
  </si>
  <si>
    <t># of genome equivalents</t>
  </si>
  <si>
    <t>100 zoospore_removed/mL * 2 weeks</t>
  </si>
  <si>
    <t>1,000 zoospore_removed/mL * 1 week</t>
  </si>
  <si>
    <t>1,000 zoospore_removed/mL * 2 weeks</t>
  </si>
  <si>
    <t>10,000 zoospore_removed/mL * 1 week</t>
  </si>
  <si>
    <t>Raw data (3x3_Mortality_JAPPL-2024-00099) --&gt; analysed by R</t>
  </si>
  <si>
    <t>I only cosidered the survivors (manually remove ID: 6, 23, 56, 64,78, 88, 90, 92, 102, as those were dead in the mortality datasheet)</t>
  </si>
  <si>
    <t>infection rate after 2 weeks</t>
  </si>
  <si>
    <t>Raw data (3x3_JAPPL-2024-00099) --&gt; analysed by R</t>
  </si>
  <si>
    <t>Bd load after 2 weeks</t>
  </si>
  <si>
    <t>I only cosidered the infected survivors (i.e. no died or uninfected individuals)</t>
  </si>
  <si>
    <t>I did not consider the death during the 5-week vaccination period (i.e. before the start of the post-treatment Bd exposure; before Day 36)</t>
  </si>
  <si>
    <t>I only cosidered the infected survivors (manually remove ID: 6, 23, 56, 64,78, 88, 90, 92, 102, as those were dead in the mortality datasheet + uninfected individuals prevelence = 0)</t>
  </si>
  <si>
    <t>McMahon_et_al_2021</t>
  </si>
  <si>
    <t>1% Ivermectin (2mg/kg body mass)</t>
  </si>
  <si>
    <t>Supplementary Information -&gt; S1 Raw Data -&gt; Fig 3 and 4 -&gt; calculated using R</t>
  </si>
  <si>
    <t>10.1371/journal.pone.0258185.s002</t>
  </si>
  <si>
    <t>Supplementary Information -&gt; S1 Raw Data -&gt; Fig 1 &amp; 2 -&gt; no new death between "Weight (g) Week 82" to "Day 14 Post Bd Infection"</t>
  </si>
  <si>
    <t>The method stated "Animals were euthanatized immediately at the end of this two-week infection period", but in S1 Raw Data (Figs 1 &amp; 2), there were weight measurement on Days 28 &amp; 45 post-Bd infection</t>
  </si>
  <si>
    <t>The values are different from the text (Ivermectin: 22%, control: 55%)</t>
  </si>
  <si>
    <t>Woodhams_et_al_2020</t>
  </si>
  <si>
    <t>a mix of four bacteria: Pseudomonas fluorescens, Pedobacter cryoconitis, Chryseobacterium sp. Iodobacter sp.</t>
  </si>
  <si>
    <t>Time_post_Bd = Day 50 (in Fig 1a) - Day 13 (the beginning of Bd exposure, see method) = 37 days</t>
  </si>
  <si>
    <t>Fig 1a -&gt; calculated by "ShinyDigitise" in R</t>
  </si>
  <si>
    <t>Woodhams_et_al_2012</t>
  </si>
  <si>
    <t>Peptides rinsed from Pelophylax esculentus skin after norepinephrine induction of granular gland secretions</t>
  </si>
  <si>
    <t>Unclear whether the control group underwent a sham procedure for the peptide treatment (a 2-min bath) (note: the author described a sham procedure for Bd exposure but not for the peptide treatment).</t>
  </si>
  <si>
    <t>Rohr_et_al_2017</t>
  </si>
  <si>
    <t>Raw data (Fungal load on frogs 1) -&gt; calculated by R</t>
  </si>
  <si>
    <t>Infection rate at mid-survey swab</t>
  </si>
  <si>
    <t>10.6084/m9.figshare.5197378.v1</t>
  </si>
  <si>
    <t>Bd load at  mid-survey swab</t>
  </si>
  <si>
    <t># of zoospore equivalents</t>
  </si>
  <si>
    <t>(1) Time_post_Bd = 86 days = Day 208 (End of experiment) - Day 122 (the beginning of post-metamorphosis Bd exposure) - Fig S1</t>
  </si>
  <si>
    <t>(1) Time_post_Bd = 33 days = Day 155 (Mid-Survey Swab) - Day 122 (the beginning of post-metamorphosis Bd exposure - Fig S1
(2) I only considered the survivors measured at Day 155 (while excluding the swab data from dead individuals at the time of death, due to the unknown time_post_Bd)</t>
  </si>
  <si>
    <t>(1) Time_post_Bd = 33 days = Day 155 (Mid-Survey Swab) - Day 122 (the beginning of post-metamorphosis Bd exposure  - Fig S1
(2) I only considered the survivors measured at Day 155 (while excluding the swab data from dead individuals at the time of death, due to the unknown time_post_Bd)</t>
  </si>
  <si>
    <t>(1) Time_post_Bd = 33 days = Day 155 (Mid-Survey Swab) - Day 122 (the beginning of post-metamorphosis Bd exposure  - Fig S1
(2) I only considered the INFECTED survivors measured at Day 155 (Excluding: the swab data from dead individuals at the time of death &amp; those with Bd_load = 0)</t>
  </si>
  <si>
    <t>Walke_et_al_2015</t>
  </si>
  <si>
    <t>Treated = "augmented with J. lividum". Control = "unmanipulated with sham procedure"</t>
  </si>
  <si>
    <t>Method: no frogs died</t>
  </si>
  <si>
    <t>Davidson_et_al_2012</t>
  </si>
  <si>
    <t>Pseudacris triseriata strain</t>
  </si>
  <si>
    <t>Zoospore load</t>
  </si>
  <si>
    <t>Result text &amp; Fig 3</t>
  </si>
  <si>
    <t>The author attempted to infect animals for the “Curing Experiments” and accidentally found that previously infected–cured animals had lower Bd loads, although the experimental procedure was not described in detail.</t>
  </si>
  <si>
    <t>Barnett_et_al_2023</t>
  </si>
  <si>
    <t>The Bd loads were only measured at the end of the experiment (Day 24), so I assumed that it did not include animals that died during the experiment (as their infection status was unknown). N = 30 * 0.94 (overall mortality) = 28.2</t>
  </si>
  <si>
    <t>Infection probability at days 24</t>
  </si>
  <si>
    <t>Infection intensity at days 24</t>
  </si>
  <si>
    <t># of In (genome equivalents)</t>
  </si>
  <si>
    <t>Barnett_et_al_2021</t>
  </si>
  <si>
    <r>
      <t>"</t>
    </r>
    <r>
      <rPr>
        <b/>
        <sz val="11"/>
        <color theme="1"/>
        <rFont val="Aptos Narrow"/>
        <scheme val="minor"/>
      </rPr>
      <t>split</t>
    </r>
    <r>
      <rPr>
        <sz val="11"/>
        <color theme="1"/>
        <rFont val="Aptos Narrow"/>
        <family val="2"/>
        <scheme val="minor"/>
      </rPr>
      <t>": Individuals from the same clutches were split between control and treatment groups. If the animals were randomly assigned into groups, we considered this as “split.” If there was no difference in pre-treatment body condition (e.g., size, weight) between groups, we also considered it as “split.”
"</t>
    </r>
    <r>
      <rPr>
        <b/>
        <sz val="11"/>
        <color theme="1"/>
        <rFont val="Aptos Narrow"/>
        <scheme val="minor"/>
      </rPr>
      <t>independent</t>
    </r>
    <r>
      <rPr>
        <sz val="11"/>
        <color theme="1"/>
        <rFont val="Aptos Narrow"/>
        <family val="2"/>
        <scheme val="minor"/>
      </rPr>
      <t>": Individuals from independent clutches were used  for control and treatment</t>
    </r>
  </si>
  <si>
    <t>JEL 419 (Panamá strain)</t>
  </si>
  <si>
    <t>Raw data (post_Bd_challenge_survival_only) -&gt; calculated by R</t>
  </si>
  <si>
    <t xml:space="preserve">10.5061/dryad.qjq2bvqgd </t>
  </si>
  <si>
    <t>survivor only</t>
  </si>
  <si>
    <t xml:space="preserve"># of zoospores </t>
  </si>
  <si>
    <t>(1) Infected survivors only (2) As there were different amount of genome equivalents per zoospore for each Bd strains. The authors standardised the zoospore quantities using genome equivalents / zoospore.</t>
  </si>
  <si>
    <t>McMahon_et_al_2023</t>
  </si>
  <si>
    <t>Bd intensity at the end of the experiment</t>
  </si>
  <si>
    <t>Knutie_et_al_2018</t>
  </si>
  <si>
    <t>SRS 812</t>
  </si>
  <si>
    <t>environment with metyrapone (corticosterone inhibitor) because corticosterone impacts gut bacterial diversity and thus lowers resistance to pathogen</t>
  </si>
  <si>
    <t>Raw data (Knutie_FigShare_JAE_Summary_Final) -&gt; calculated by R</t>
  </si>
  <si>
    <t xml:space="preserve">10.6084/m9.figshare.5417629 </t>
  </si>
  <si>
    <t>(1) The Bd swab data were shown in tank level (replicate). 1 or 2 tadpoles were sampled per tank, while the n_animals were not specified.</t>
  </si>
  <si>
    <t>infection rate at week 2 or week 3 post-Bd exposure</t>
  </si>
  <si>
    <t>Raw data (Knutie_FigShare_JAE_AllAdults_Final) -&gt; calculated by R</t>
  </si>
  <si>
    <t>time_post_Bd = 2~3 weeks post exposure = 17.5 days</t>
  </si>
  <si>
    <t>Bd load at week 2 or week 3 post-Bd exposure</t>
  </si>
  <si>
    <t>Sauer_et_al_2018</t>
  </si>
  <si>
    <t>10.5061/dryad.643r37b</t>
  </si>
  <si>
    <t>"Atelopus zeteki was the only species with substantial Bd-induced mortality" and that "the maximum mortality among the other species was 15% in non-regulating Anaxyrus americanus" with no survival plot for O. septentrionalis in Fig S4 (implying no death). They also report 0% Bd prevalence at week 2 post-Bd exposure for O. septentrionalis. In Raw data (sheet "Prevalence"), the sample size in week 1 and 2 remained unchanged, implying no death in week 2 post-Bd exposure. These passages imply (but don’t explicitly state) no Bd-related deaths</t>
  </si>
  <si>
    <t>Infection rate at week 2</t>
  </si>
  <si>
    <t>Harris_et_al_2009a</t>
  </si>
  <si>
    <t>Harris_et_al_2009b</t>
  </si>
  <si>
    <t>Pseudomonas reactans (from the skin of Plethodon cinereus)</t>
  </si>
  <si>
    <t>One individual in the ‘treated’ group was naturally infected (with 1 zoospore) before the experimental Bd exposure. The estimate of Bd loads at weeks 2 post-Bd exposure might include this individual.</t>
  </si>
  <si>
    <t>Becker_et_al_2009</t>
  </si>
  <si>
    <t>The initial infection status of these wild-caught animals prior to the post-probiotic Bd exposure was not reported.</t>
  </si>
  <si>
    <t>Towe_et_al_2024</t>
  </si>
  <si>
    <t>terbinafine-impregnated implants (24.5 mg) placed intracoelomically</t>
  </si>
  <si>
    <t>All animals tested negative for Bd via qPCR in the month following the first exposure</t>
  </si>
  <si>
    <t>infection rate in a month</t>
  </si>
  <si>
    <t>Figure 3</t>
  </si>
  <si>
    <t>DNA copies / µL extracted sample</t>
  </si>
  <si>
    <t>Figure 3 -&gt; calculated by "ShinyDigitise" in R</t>
  </si>
  <si>
    <t>Waddle_PhD_thesis</t>
  </si>
  <si>
    <t>Result text &amp; Fig 2D</t>
  </si>
  <si>
    <t>Figure 2B -&gt; calculated by "ShinyDigitise" in R</t>
  </si>
  <si>
    <t>peak weekly infection prevalence</t>
  </si>
  <si>
    <t>peak weekly infection intensity</t>
  </si>
  <si>
    <t># of log10 (Bd-specific internal transcribed spacer (ITS) +1)</t>
  </si>
  <si>
    <t>Raw data (final_cross_protection_data) -&gt; calculated by R</t>
  </si>
  <si>
    <t>no</t>
  </si>
  <si>
    <t>(1) life_stage = 12 weeks post-metamorphosis = juveniles, as females take up to 2 years to be sexually mature
(2) time_interval = the start of Bd re-exposure (Day 105) - the end of itraconazole treatment (Day 55) = 50 days
(3)  side-effect of immunisation (i.e., infection - drug clearance): 4 out of 23 individuals died</t>
  </si>
  <si>
    <t>Chapter 5 in thesis</t>
  </si>
  <si>
    <t>LFMU ‘Macquarie University-Litoria fallax-2020-AW’, AUS 86</t>
  </si>
  <si>
    <t>juvenile</t>
  </si>
  <si>
    <t>captive</t>
  </si>
  <si>
    <t>Litoria aurea</t>
  </si>
  <si>
    <t>Sydney, Australia</t>
  </si>
  <si>
    <t>adult</t>
  </si>
  <si>
    <t>Siren lacertina</t>
  </si>
  <si>
    <t>Tennessee, USA</t>
  </si>
  <si>
    <t>(1) add Janthinobacterium lividum to the skin, increasing the concentration of violacein (anti-Bd compound) on the skin 
(2) Bd load or Bd prevalence were not reported</t>
  </si>
  <si>
    <t>JEL310</t>
  </si>
  <si>
    <t>Plethodon cinereus</t>
  </si>
  <si>
    <t>Virginia, USA</t>
  </si>
  <si>
    <t>JEL 215</t>
  </si>
  <si>
    <t>Osteopilus septentrionalis</t>
  </si>
  <si>
    <t>Florida, USA</t>
  </si>
  <si>
    <t>(1) The author stated "pollutants (i.e. herbicide atrazine) could increase infection risk", so the exposure to atrazine is NOT considered as "resistance-enhancing treatment".
(2) Metryrapone experiment is extracted because the authors assume "Metyrapone exposure → ↓ corticosterone → ↑ microbiota diversity → ↑ Bd resistance"
(3) time_interval = day 84 (adult Bd expousure) - day 6 (the end of tadpole water treatment) = 78 days (Fig 2) 
(4) metyrapone was redosed every three days. atrazine was not redosed
(5) Here I extracted data for the effect of metryrapone in the absence of atrazine
(6) Tadpole and adult samples were collected from different individuals within the same replicate (tank)
(7) life-stage = 1 month post-metamorphosis. The authors called it "adult", but I am not sure
(8) mortality was not reported</t>
  </si>
  <si>
    <t>larva</t>
  </si>
  <si>
    <t>(1) The author stated "pollutants (i.e. herbicide atrazine) could increase infection risk", so the exposure to atrazine is NOT considered as "resistance-enhancing treatment".
(2) Metryrapone experiment is extracted because the authors assume "Metyrapone exposure → ↓ corticosterone → ↑ microbiota diversity → ↑ Bd resistance"
(3) time_interval = day 84 (adult Bd expousure) - day 6 (the end of tadpole water treatment) = 78 days (Fig 2) 
(4) metyrapone was redosed every three days. atrazine was not redosed
(5) Here I extracted data for the effect of metryrapone in the presence of atrazine
(6) Tadpole and adult samples were collected from different individuals within the same replicate (tank)
(7) life-stage = 1 month post-metamorphosis. The authors called it "adult", but I am not sure
(8) mortality was not reported</t>
  </si>
  <si>
    <t>(1) The author stated "pollutants (i.e. herbicide atrazine) could increase infection risk", so the exposure to atrazine is NOT considered as "resistance-enhancing treatment"
(2) Metryrapone experiment is extracted because the authors assume "Metyrapone exposure → ↓ corticosterone → ↑ microbiota diversity → ↑ Bd resistance"
(3) Here I extracted data for the effect of metryrapone in the absence of atrazine
(4) Tadpole and adult samples were collected from different individuals within the same replicate (tank)
(5) mortality was not reported</t>
  </si>
  <si>
    <t>Without atrazine in the environment [control = group (4); treated = group (2)], tadpole Bd exposure</t>
  </si>
  <si>
    <t>(1) The author stated "pollutants (i.e. herbicide atrazine) could increase infection risk", so the exposure to atrazine is NOT considered as "resistance-enhancing treatment"
(2) Metryrapone experiment is extracted because the authors assume "Metyrapone exposure → ↓ corticosterone → ↑ microbiota diversity → ↑ Bd resistance"
(3) Here I extracted data for the effect of metryrapone when atrazine was always in the treatment environment
(4) Tadpole and adult samples were collected from different individuals within the same replicate (tank)
(5) mortality was not reported</t>
  </si>
  <si>
    <t>With atrazine in the environment [control = group (1); treated = group (3)], tadpole Bd exposure</t>
  </si>
  <si>
    <t>JEL 419 (from Panama)</t>
  </si>
  <si>
    <t>Pseudacris regilla</t>
  </si>
  <si>
    <t>JEL 270 (California strain)</t>
  </si>
  <si>
    <t>(1) Treatment = "pre-exposure". (2) Initial sample size = 30 tadpoles per treatment, and any deaths before Bd exposure were excluded, so the number of animals that experienced Bd inoculation should be less than 30. However, the authors did not state the number of animals used to estimate mortality during the Bd exposure period (days 12–24).</t>
  </si>
  <si>
    <t>Connecticut, USA</t>
  </si>
  <si>
    <t>(1) This was an accidental discovery when the authors attempted to infect animals for the curing experiment (to assess how different leaf extracts cured Bd-infected animals). The method was not described in detail.
(2) Do not extract data from in vivo experiments (either Eucalyptus camaldulensis or Quercus spp.) because the rearing environment during Bd exposure consistently differed between treatments, meaning there was no common environment for post-treatment Bd exposure.
(3) Do not extract data from the main part of the “Curing experiments” because the animals were first infected before the curing treatment, resulting in no post-treatment Bd exposure.
(4) host_origin: the animals were lab-reared, but it is unclear whether they were from wild-caught parents or wild-collected eggs
(5) life_stage = metamorphs = juveniles</t>
  </si>
  <si>
    <t>Result section: Curing experiments</t>
  </si>
  <si>
    <t>Pseudacris triseriata</t>
  </si>
  <si>
    <t>Ambystoma tigrinum</t>
  </si>
  <si>
    <t>Arizona, USA</t>
  </si>
  <si>
    <t>(1) There were 60 frogs in each of the 6 treatments. Thirty of them were naturally infected (with a low Bd load and not cleared of infection before the experiment) and thirty were uninfected. They were randomly assigned to each treatment, so I assume half of the frogs in each group should be excluded. I kept the data because the infected and uninfected frogs were randomly (and likely evenly) assigned to different treatments, but this may need to be excluded. (3) Bd prevalence data --&gt; not reported.</t>
  </si>
  <si>
    <t>Lithobates catesbieanus</t>
  </si>
  <si>
    <t>SRS 812 (from Rana catesbeiana)</t>
  </si>
  <si>
    <t>(1) Bufo bufo experiment: (a) Treatment 3: Bd-exposed control (n = 17) (b) Treatment 4: treated with antimicrobial peptides (AMPs) and then exposed to Bd (n = 17) ==&gt; Data extractable from this comparison for Bd resistance.
(2) Other species (Rana muscosa, Lithobates pipiens, Limnodynastes peronii, Alytes obstetricans): Not included, as animals were naturally infected before any disinfectant or AMP treatments, and no controlled post-treatment Bd exposure occurred.
(3) time_interval = 0 =&gt; Bd exposure immediately after peptide treatment</t>
  </si>
  <si>
    <t>a mix of UK Bufo Bufo isolate + Swiss Alytes obstetricans isolate 0739</t>
  </si>
  <si>
    <t>Bufo Bufo</t>
  </si>
  <si>
    <t>Zurich, Switzerland</t>
  </si>
  <si>
    <t>(1) Given the significant mortality driven by Bd, the authors did not test for Bd load</t>
  </si>
  <si>
    <t>Rana sierrae</t>
  </si>
  <si>
    <t>(1) Life_stage_treated: 4 weeks post-metamorphosis. = juveniles
(2) Life_stage_tested for Bd: 4 weeks post-metamorphosis plus 2.5 years (130 weeks). The Bd exposure occurred 2 weeks before the end of the 2.5 years, so 4 + 130 − 2 = 132 weeks post-metamorphosis. Cuban tree frogs take approximately 17 weeks (males) or 36 weeks (females) to become sexually mature (see ref [20]), so at 132 weeks post-metamorphosis, all individuals were sexually mature.
(3) While the method stated "the frogs were weighed every week... approximately 2.5 years (~130 weeks)". However, when I check the supplementary information S1 Raw Data, the weight data were only shown until Week 82 + 6 weeks (45 Days post-Bd exposure) = 88 weeks (not 130 weeks). Also see Fig 2</t>
  </si>
  <si>
    <t>(1) The time interval is unclear, but the live Bd exposure started immediately after the vaccination period, so I assume it to be 1 day.</t>
  </si>
  <si>
    <t>(1) There is a 5 × 5 factorial design (metabolite concentration × duration), but the authors adopted a “standard response surface design” (Table S1) with only 14 actual experimental groups. (2) The time interval is unclear, but the live Bd exposure started immediately after the vaccination period, so I assume it to be 1 day.</t>
  </si>
  <si>
    <t>Lithobates sphenocephalus</t>
  </si>
  <si>
    <t>Rana muscosa</t>
  </si>
  <si>
    <t>California, USA</t>
  </si>
  <si>
    <t>cross-stage</t>
  </si>
  <si>
    <t>Atelopus zeteki</t>
  </si>
  <si>
    <t>Maryland, USA</t>
  </si>
  <si>
    <t>(1) time_interval = Figure 1: Day 89 - Day 63. (2) method for post-treatment Bd exposure = topical onto the skin. (3) raw data were provided by the authors (4) although many animals were kept in a communal tank, the procedures for Bd inocuation and vacciniation were conducted in an individual container/bin for each individual (so technical replicate = number of animals)</t>
  </si>
  <si>
    <t>yes</t>
  </si>
  <si>
    <t>Cryptobranchus alleganiensis alleganiensis</t>
  </si>
  <si>
    <t>New York, USA</t>
  </si>
  <si>
    <t>high Bd dose for post-treatment Bd exposure</t>
  </si>
  <si>
    <t>Becker_et_al_2011</t>
  </si>
  <si>
    <t>(1) Bd load data were shown by individual infection condition (Fig. 2), but pooled across different probiotic treatments. Bd load was not extracted.</t>
  </si>
  <si>
    <t>DC and Maryland, USA</t>
  </si>
  <si>
    <t>(1) The animals were from Langhammer et al. 2013 PLoS One, so most frog info can be found there (i.e., the 10 captive-bred adults for "pure control" and "naïve-infected" have experineced a proper shame procedure when the "survived-infected" frogs were exposed to JEL-427-P39). (2) Two "survived-infected" animals: one had never infected by J-427-P39, one had infected but then fully cleared. (3) time_interval = the time gap between two studies (30 days); (4) sex: all females; (5) the animals seemed the same as those used in "DiRenzo et al (2014) PLoS One" (6) Bd loads were pooled across all Bd-exposed animals (i.e. naive-infected + survived-infected), so cannot be extracted.</t>
  </si>
  <si>
    <t>Bufo boreas</t>
  </si>
  <si>
    <t>Colorado, USA</t>
  </si>
  <si>
    <t>(1) The effect of immunisation: Control = "Treated" and treatment = "inoculated" in Fig 1
(2) The effect of itraconazole: Control = "Naive" and treatment = "Treated" in Fig 1</t>
  </si>
  <si>
    <t>Litoria booroolongensis</t>
  </si>
  <si>
    <t>Queensland, Australia</t>
  </si>
  <si>
    <t>(1) Mechanism: Increased number of "infection + clearance" cycles elevates lymphocyte abundance in the spleen (Fig. 3).
(2) Life stage: Not specified. Frogs were 5 months post-metamorphosis, but this species typically reaches sexual maturity at 6–12 months. I considered them "juvenile/subadult".
(3) Time_interval: Unclear. No rest period or gap between immunisation cycles was mentioned. Since post-treatment Bd exposure corresponds to the fourth cycle, I assumed it started immediately—consistent with the approach used by McMahon in other studies (2024, J Appl Ecol).
(4) frogs across all treatments (including those for killed Bd incoluation) were exposed to the same temperature regimes (Extended Data Table 1 and Table 3) -&gt; so they also experienced the temperature increased for heat clearance
(5) Behaviour experiments were not extracted because the first and second Bd exposure data came from the same individuals (i.e., repeated measurements over time). The procedure therefore differed across Exposure 0, 1, and 2, with increasing handling over exposures and variation in the timing of estimates</t>
  </si>
  <si>
    <t>Second immunological resistance  - exposure period 4 (Extened Data Table 3). Clean infection using 30C (Extended Data Table 2)</t>
  </si>
  <si>
    <t xml:space="preserve">Osteopilus septentrionalis </t>
  </si>
  <si>
    <t>(1) Mechanism: Increased number of "infection + clearance" cycles elevates lymphocyte abundance in the spleen (Fig. 3).
(2) Life stage: Not specified. Frogs were 5 months post-metamorphosis, but this species typically reaches sexual maturity at 6–12 months. I considered them "juvenile/subadult".
(3) Time_interval: Unclear. No rest period or gap between immunisation cycles was mentioned. Since post-treatment Bd exposure corresponds to the fourth cycle, I assumed it started immediately—consistent with the approach used by McMahon in other studies (2024, J Appl Ecol).
(4) Behaviour experiments were not extracted because the first and second Bd exposure data came from the same individuals (i.e., repeated measurements over time). The procedure therefore differed across Exposure 0, 1, and 2, with increasing handling over exposures and variation in the timing of estimates</t>
  </si>
  <si>
    <t>First immunological resistance - exposure period 4 (Extended Data Table 3). Clean infection using 32C (Extended Data Table 2)</t>
  </si>
  <si>
    <t xml:space="preserve">(1) Mechanism: Increased number of "infection + clearance" cycles elevates lymphocyte abundance in the spleen (Fig. 3).
(2) Life stage: Not specified. Frogs were 5 months post-metamorphosis, but this species typically reaches sexual maturity at 6–12 months. I considered them "juvenile/subadult".
(3) Time_interval: Unclear. No rest period or gap between immunisation cycles was mentioned. Since post-treatment Bd exposure corresponds to the fourth cycle, I assumed it started immediately—consistent with the approach used by McMahon in other studies (2024, J Appl Ecol).
(4) Behaviour experiments were not extracted because the first and second Bd exposure data came from the same individuals (i.e., repeated measurements over time). The procedure therefore differed across Exposure 0, 1, and 2, with increasing handling over exposures and variation in the timing of estimates
</t>
  </si>
  <si>
    <t>First immunological resistance - exposure period 3 (Extended Data Table 3). Clean infection using 32C (Extended Data Table 2)</t>
  </si>
  <si>
    <t>(1) no data of mortality and infection rate, 
(2) The authors first found that mast cell–enriched animals exhibited greater il4 expression than control animals. Based on this, they manipulated subcutaneous IL-4 levels to test whether increasing its abundance could help reduce Bd loads.
(3) There are two types of IL-4 experiments: (a) animals were injected with rIL4 --&gt; after 12 hours, exposed to Bd; (b) animals were first exposed to Bd --&gt; after 1 day, injected with rIL4. I only included (a), as my inclusion criteria require that Bd exposure occurs after the resistance-enhancing treatment.</t>
  </si>
  <si>
    <t>Pleotropic anti-inflammatory cytokine (interleukin-4; il4) enrichment via subcetaneous rIL4 injection</t>
  </si>
  <si>
    <t>JEL197</t>
  </si>
  <si>
    <t>Xenopus laevis</t>
  </si>
  <si>
    <t>Washington, USA</t>
  </si>
  <si>
    <t>10.7554/eLife.92168</t>
  </si>
  <si>
    <t xml:space="preserve">(1) no data of mortality and infection rate, 
(2) Neutrophils are expected to amplify the inflammation (and thus make Bd infection more severe). The experiment on "neutrophils enrichment via subcetaneous rCSF3 administration" is not considered because it is expected to increase Bd susceptibility.
(3) mechanism: 
(a) Mast cell-enriched frogs have greater Bd-inhibitory bacteria richness (despite less abundance of antifungal bacteria) during the post-treatment Bd exposure period (Fig 7C,D) --&gt; hence, mast cell enrichment can serve as a "selective substratum for commensal microbes" 
(b) Mast cell enrichment did not improve direct Bd-killing capacities in vitro
(c) Mast-cell enrichment can upregulate the expression of AMP-enconding genes post-Bd exposure (in vitro), but not in vivo 
(d) Mast cell-enriched animal skins have greater transcripts of il4 than control animals --&gt; this resulted in the next set of experiment (to test the difference in Bd load between il4-enriched animals versus control animals)
</t>
  </si>
  <si>
    <t>mast cell enrichment via subcutaneous rSCF injection</t>
  </si>
  <si>
    <t>animals kept at 26°C</t>
  </si>
  <si>
    <t>Acris crepitans</t>
  </si>
  <si>
    <t>Louisiana, USA</t>
  </si>
  <si>
    <t>animals kept at 14°C</t>
  </si>
  <si>
    <t>frogs unwashed before Serratia marcescens inoculation</t>
  </si>
  <si>
    <t>JEL423</t>
  </si>
  <si>
    <t>Acris blancardi</t>
  </si>
  <si>
    <t>South Dakota, USA</t>
  </si>
  <si>
    <t>semi-natural</t>
  </si>
  <si>
    <t>Notophthalmus viridescens</t>
  </si>
  <si>
    <t>(1) their model included "sex" but animal sex was not shown in raw data; 
(2) time_interval = the final measurement date of "infection" in Source data_Figure 3 
(3) Only the toads without infection (Load_dec = 0 in "Reinfection Alytes: loads and survival") at the start of post-treatment Bd exposure (Time = 0 in "Reinfection Alytes: loads and survival") were considered as focal animals
(4) "Underlying mechanism" for the protective effect of infection with a low-virulence Bd isolate: a  pathogen-mediated effect (e.g. niche pre-emption or competitive exclusion). The low-virulence strain can colonise the host’s skin without causing lethal disease, potentially occupying infection niches or outcompeting the hypervirulent strain during subsequent exposure.
(5) Do not consider another set of BdBE3 experiment (Figure 3b) -&gt; there are infected before post-treatment Bd exposure: see text "Exposure to BdBE3 resulted in "infection in ALL animals" in the absence of mortality and a median peak load of 140 GE (range 14–1164 GE).</t>
  </si>
  <si>
    <t>Fig 3a. Toads exposed to hypo-virulent Bd (without infected at the start of post-treatment exposure to hyper-virulent BdJEL)</t>
  </si>
  <si>
    <t>Alytes obstetricans</t>
  </si>
  <si>
    <t>Flanders, Belgium</t>
  </si>
  <si>
    <t>Infection_clear: Rana pipiens</t>
  </si>
  <si>
    <t>Rana pipiens</t>
  </si>
  <si>
    <t>Nevada, USA</t>
  </si>
  <si>
    <t>Infection_clear: Rana onca</t>
  </si>
  <si>
    <t>Rana onca</t>
  </si>
  <si>
    <t>SLL-inoculated animals, only 9 individuals that remained Bd negative at the start of post-treatment Bd exposure were considered</t>
  </si>
  <si>
    <t>Shaded greenhouse in 'Hotspot shelters prevent disease'</t>
  </si>
  <si>
    <t>Unshaded greenhouse in 'Hotspot shelters prevent disease'</t>
  </si>
  <si>
    <t>(1) Data was not extracted from thermal regulation part of the experiment due to environmental difference in Bd exposure period.</t>
  </si>
  <si>
    <t>section: Pathogen-experienced frogs are resistant</t>
  </si>
  <si>
    <t>(1) Browns Creek is a Bd-naïve environment, so experiment in Browns Creeks was excluded (as no post-treatment Bd exposure). (2) In South Cottonwood, the treatment started when focal individuals were late-larval stage (Gosner stage 39-41), The treatment continued for 15 days, and the author said "we did observe treatment of all metamorphosis stage at South Cottonwood". Therefore, I chose "cross-stages". (3) The probotic treatment ends on Day4; the animals were swabbed at Day 8 and Day 15 (selecting 10 individuals per container; n = 3 container per treatment); The animals were released at Day 16 but the recapture rate is low (34 [see Figure 3.3] out of 212 [page 37]= 16%). Therefore, I only considered the data on Day 8 and Day 15. (4) While the experiment was in the wild pond, but the animals were housed in containers, so I considered this as 'semi-natural'. (5)Exclude "Chapter 2": already published (the published paper has been screened from meta-analysis). Exclude "Chapter" 4: habitat manipulation via environmental microbiome augmentation. Exclude "Chapter 5": no resistance-enhancing treatment tested.</t>
  </si>
  <si>
    <t>Chapter 3- South Cottonwood</t>
  </si>
  <si>
    <t>Anaxyrus boreas boreas</t>
  </si>
  <si>
    <t>(1) Only the final field experiment reported animals sex. The sex of only some individuals for experiment 1 and 2 can be known by frogID in field study becase they shared some of the focal individuals.
(2) The authors did not explicitly state the life stage of focal individuals, but they said "96% (1,072) survived to the adult stage" in the supplementary method, so the life stage was assumed to be 'adult'
(3) Time interval: Experiment 1 ended on 14/5/2017 (the final day of post-treatment Bd exposure: 3/5/2017 [see raw data: Adams_etal_2022_Frog_Lab_Data] + 11 days for itraconazole treatment), and Bd re-exposure in Experiment 2 occurred on 11/4/2018 (the first date of Bd detection was 16/4/2018 [see raw data file], based on a 7-day interval). Therefore, the time interval between experiments is 332 days (i.e. 14/5/2017 to 11/4/2018)</t>
  </si>
  <si>
    <t>Laboratory Experiment 2</t>
  </si>
  <si>
    <t xml:space="preserve">(1) Only the final field experiment reported animals sex. The sex of only some individuals for experiment 1 and 2 can be known by frogID in field study becase they shared some of the focal individuals.
(2) The authors did not explicitly state the life stage of focal individuals, but they said "96% (1,072) survived to the adult stage" in the supplementary method, so the life stage was assumed to be 'adult'
(3) Time interval: the treatment last 31 days (method: 20 days for Bd infection + 11 days for clearance) and the post-treatment Bd exposure occurred on Day 51 (see Table 1: Bd exposure 2). Thus, the time interval is 20 days (51-31 days)
(4) While the authors stated that the infection step during the 'infection-clearance' treatment was not successful for 1 of the 19 frogs, the raw data file (Adams_etal_2022_Frog_Lab_Data) indicates that the animal (ID: 89939) was actually infected on 27/2/2017 and later self-cured. Therefore, all 19 individuals can be included in the 'infection-clearance' group. </t>
  </si>
  <si>
    <t>Laboratory Experiment 1</t>
  </si>
  <si>
    <t>n_C_clutches</t>
  </si>
  <si>
    <t>n_T_clutches</t>
  </si>
  <si>
    <t>allowed to thermoregulate [group (ii)]</t>
  </si>
  <si>
    <t xml:space="preserve">(1) Anaxyrus terrestris, Atelopus zeteki, Acris crepitans, and Anaxyrus americanus → not extracted (no resistance-enhancing treatment)
(2) Do not extract data from (a) sham-exposed control group = no post-treatment Bd exposure &amp; (b) Bd-exposed non-regulating group = each individuals were held at their own preferred body temperature (ranging from 9 to 27 degrees) , so there was no common environment during the post-Bd exposure period.
(3) Not useful files: supplementary (only reporting data about non-focal species or preferred temperature), Tpref database tab (temperature data; no Bd-exposed non-regulating group for Osteopilus septentrionalis) -&gt; directly check on the file provided by the author
(4) time_interval = 4 days (answered by the author)
</t>
  </si>
  <si>
    <t>Raw data (All Cuban load data) --&gt; calculated by R</t>
  </si>
  <si>
    <t># of zoospore</t>
  </si>
  <si>
    <t>Barnhart_et_al_2020</t>
  </si>
  <si>
    <t>Ambystoma maculatum</t>
  </si>
  <si>
    <t>Massachusetts, USA</t>
  </si>
  <si>
    <t xml:space="preserve">Juvenile Infection Trail II: Control = group (1) previously control on unbleached towels with Bsal (2) previously exposed on unbleached towels with Bsal </t>
  </si>
  <si>
    <t>(1) time_interval = March to July (Figure 1)
(2) eastern newts (Notophthalmus viridescens) --&gt; using a control to test for normal Bsal susceptibility --&gt; not extracted
(3) fire salamanders (Salamandra salamandra) --&gt; using for collection of mucosome (skin bacteria community) --&gt; not extracted 
(4) Do not consider "Group (3)" due to no common Bsal exposure environment (i.e. soil) and "Group (4)" due to no re-exposure to Bsal</t>
  </si>
  <si>
    <t>Bsal - NA</t>
  </si>
  <si>
    <t>Treated = Group 2; Control = Group 1 in Fig 1 (Juvenile infection trial II)</t>
  </si>
  <si>
    <t>no death</t>
  </si>
  <si>
    <t>McCartney_MS_thesis</t>
  </si>
  <si>
    <t>Chapter 2 - Juvenile</t>
  </si>
  <si>
    <t>Chapter 3 - Adult</t>
  </si>
  <si>
    <t>Bsal ==&gt; from Salamandra salamandra</t>
  </si>
  <si>
    <t>Bsal from Salamandra salamandra</t>
  </si>
  <si>
    <t>Treated = "high dose re-exposure", Control = "Phase 2 (P2) exposed"</t>
  </si>
  <si>
    <t>(1) I only considered the second re-exposure because the infection rate of the first re-exposure is low (only 5% in total without individual report for each treatment)
(2) time_interval = 14 + 28 days = 2 weeks lower-temperature acclimation + 1 month for the first re-exposure (which failed due to low infection rate).</t>
  </si>
  <si>
    <t>Bsal load</t>
  </si>
  <si>
    <t># of log10 (Bsal-specific internal transcribed spacer (ITS) copies +1)</t>
  </si>
  <si>
    <t>Fig 2.1b -&gt; calculated by "ShinyDigitise" in R</t>
  </si>
  <si>
    <t>Exposed to live Bsal but low infection rate (22.5%), and allowed self-clearance for 2 months (without reporting the final infection status)</t>
  </si>
  <si>
    <t>Figure 3.1 - legend</t>
  </si>
  <si>
    <t>immunised animals were 7.8 times less likely to die during subsequent exposure</t>
  </si>
  <si>
    <t>Pleurodeles waltl</t>
  </si>
  <si>
    <t>Triturus marmoratus</t>
  </si>
  <si>
    <t>Salamandra salamandra</t>
  </si>
  <si>
    <t>Bsal ==&gt; AMFP18/02</t>
  </si>
  <si>
    <t>Fig 4a</t>
  </si>
  <si>
    <t>Fig 4b</t>
  </si>
  <si>
    <t>Fig 4c</t>
  </si>
  <si>
    <t>Merelbeke, Belgium</t>
  </si>
  <si>
    <t>Result text: Juvenile Bsal Infection</t>
  </si>
  <si>
    <t>Inoculated with low-virulence Bd strain (without clearance). Low-virulence Bd inoculation caused infection (even during the Bsal exposure period) without mortality</t>
  </si>
  <si>
    <t>Source data (Figure 4) --&gt; analysed by R</t>
  </si>
  <si>
    <t>All individuals (both Bd-infected and Bd-uninfected at the beginning of Bsal exposure) were included. I did not exclude the Bd-infected animals because they were all Bsal-negative at the start of the Bsal exposure. Bd was used only as a resistance-enhancing treatment, so there are no confounding issues between pre- and post-exposure for Bsal.</t>
  </si>
  <si>
    <t>(1) All individuals (both Bd-infected and Bd-uninfected at the beginning of Bsal exposure) were included. I did not exclude the Bd-infected animals because they were all Bsal-negative at the start of the Bsal exposure. Bd was used only as a resistance-enhancing treatment, so there are no confounding issues between pre- and post-exposure for Bsal. (2) The sample size here did not match the number of survivors at the end of the experiment (Day 210) because the peak infection rate was found before the animals were dead.</t>
  </si>
  <si>
    <t>(1) All individuals (both Bd-infected and Bd-uninfected at the beginning of Bsal exposure) were included. I did not exclude the Bd-infected animals because they were all Bsal-negative at the start of the Bsal exposure. Bd was used only as a resistance-enhancing treatment, so there are no confounding issues between pre- and post-exposure for Bsal. (2) The sample size here did not match the number of survivors at the end of the experiment (Day 210) because the peak Bsal loads were found in each individual if they had been measured at least once. The time_post_Bsal was the average of the time of measurement when the peak was found</t>
  </si>
  <si>
    <t xml:space="preserve">BdGPL-BdSP11 (from Ichtyosaura alpetris adult, Spain) </t>
  </si>
  <si>
    <t xml:space="preserve">Bsal ==&gt; unclear </t>
  </si>
  <si>
    <t>The animals had never been infected. I defined the zero value as "peak" because swabs were taken weekly (although all zero values)</t>
  </si>
  <si>
    <t>Rana_onca_prior_exposure_(dryad) -&gt; Treatment = "Vaccine 1 (SMR-ITRA-SMR)"; Control = "Control (itraconazole - SMR)" -&gt; W2 - all infected</t>
  </si>
  <si>
    <t>Rana_onca_prior_exposure_(dryad) -&gt; Treatment = "Control (itraconazole - SMR)"; Control = "Control (Bd-SMR)" -&gt; select the week when all animals were infected</t>
  </si>
  <si>
    <t>Rana_pipiens_prior_exposure_(dryad) -&gt; Treatment = "CL-Itra-CL"; Control = "Itra-CL" -&gt; Select the Week with all animals infected</t>
  </si>
  <si>
    <t>Rana_pipiens_prior_exposure_(dryad) -&gt; Treatment = "Itra-CL"; Control = "CL" -&gt;  Select the Week with all animals infected</t>
  </si>
  <si>
    <t>(1) peak infection rate were estimated when all the animals were still alive, so n_animals were not number of survivors at week20</t>
  </si>
  <si>
    <t>Source Data -&gt; Figure 3a sheet "Reinfection Alytes: loads and survival" -&gt; calculated in R</t>
  </si>
  <si>
    <t>The treated and control animals in exp_id =2 are the same as those in exp_id = 1 because the data here were collected during their second Bd exposure</t>
  </si>
  <si>
    <t>Treated = "Bd-Itra-Bd". Control = "Itra-Bd"</t>
  </si>
  <si>
    <t>Treated = "Itra-Bd". Control = "Bd only"</t>
  </si>
  <si>
    <t>Delay exposure and double exposure in the section "Effects of fungicides on Bd growth on frogs in the laboratory"</t>
  </si>
  <si>
    <t>self-cured</t>
  </si>
  <si>
    <t>Treatment: no antifungal + tadpole Bd exposure (in double exposure). Control: no antifugal + no tadpole Bd exposure (in delayed exposured)</t>
  </si>
  <si>
    <t>Raw data ("File for Joseph Chung" for double exposure; "Fungal load on frogs 1" for delayed exposure) -&gt; calculated by R</t>
  </si>
  <si>
    <t>Treatment: no antifungal + tadpole Bd exposure (in double exposure). Control: no antifugal + no tadpole Bd exposure (in delayed exposure)</t>
  </si>
  <si>
    <t>Treatment = azoxystrobin + no tadpole Bd exposure, Control = no drug + no tadpole Bd exposure</t>
  </si>
  <si>
    <t>Treatment = chlorothalonil  + no tadpole Bd exposure, Control = no drug + no tadpole Bd exposure</t>
  </si>
  <si>
    <t>Treatment = mancozeb  + no tadpole Bd exposure, Control = no drug + no tadpole Bd exposure</t>
  </si>
  <si>
    <t>share_animal_ID</t>
  </si>
  <si>
    <t>share_value_ID</t>
  </si>
  <si>
    <t>(1) Time_post_Bd is 20 days, measured right before the application of itraconazole (see Figure 3a using ShinyDigitise) (2) This animal group (Exp 2- T_Cohort 1) is the same those in Exp 1- C_cohort 1</t>
  </si>
  <si>
    <t>(1) Time_post_Bd is 20 days, measured right before the application of itraconazole (see Figure 3a using ShinyDigitise) (2) This animal group (Exp 2- T_Cohort 2) is the same those in Exp 1- T_Cohort 1</t>
  </si>
  <si>
    <t>(1) the average Bd laods reported in the main text were the mean by all the swab samples, which includes severage measurement of the same individuals at different time points, resulting in different weights of each individuals (e.g. some measured once, some measured twice). I manually find the peak from the raw data file, the time_post_Bd was taken from average from peak measurement for each individual
(2)  Bd re-exposure in Experiment 2 occurred on 11/4/2018 (the first date of Bd detection was 16/4/2018 see [Adams_etal_2022_Frog_Lab_Data], which is 5 days after Bd re-exposure (Figure 3a estimated by ShinyDigitise)
(3) This animal group (Exp 2- T_Cohort 1) is the same those in Exp 1- C_cohort 1</t>
  </si>
  <si>
    <t>(1) the average Bd laods reported in the main text were the mean by all the swab samples, which includes severage measurement of the same individuals at different time points, resulting in different weights of each individuals (e.g. some measured once, some measured twice). I manually find the peak from the raw data file, the time_post_Bd was taken from average from peak measurement for each individual
(2)  Bd re-exposure in Experiment 2 occurred on 11/4/2018 (the first date of Bd detection was 16/4/2018 see [Adams_etal_2022_Frog_Lab_Data], which is 5 days after Bd re-exposure (Figure 3a estimated by ShinyDigitise)
(3) This animal group (Exp 2- T_Cohort 2) is the same those in Exp 1- T_Cohort 1</t>
  </si>
  <si>
    <t>(1) The treatment group (Exp 3- T_Cohort 2) is the same those in Exp 3- C_cohort 1 (above)</t>
  </si>
  <si>
    <t>(1) peak infection rate were estimated when all the animals were still alive, so n_animals were not number of survivors at week20 (2) The treatment group (Exp 3- T_Cohort 2) is the same those in Exp 3- C_cohort 1 (above)</t>
  </si>
  <si>
    <t>(1) peak Bd loads were estimated among the multiple measurements of each individual across different weeks. Even if the animals were dead at the end of the experiment, once its infection status has been measured once (= all animals) then peak Bd loads can be calculated. Therefore, n_animals = 12 (2) The treatment group (Exp 3- T_Cohort 2) is the same those in Exp 3- C_cohort 1 (above)</t>
  </si>
  <si>
    <t>low Bd dose for post-treatment Bd exposure</t>
  </si>
  <si>
    <t>Treated = "FCA/FIA:killed Bd", Control = "FCA/FIA saline".</t>
  </si>
  <si>
    <t>(1) Time_post_Bd = 86 days = Day 208 (End of experiment) - Day 122 (the beginning of post-metamorphosis Bd exposure) - Fig S1 (2) T_cohort_id = 1 here is the same as T_cohort_id = 1 (azoxystrobin only without tadpole Bd exposure) + 2 (chlorothalonil without tadpole Bd exposure) + 3 (mancozeb without tadpole Bd exposure)</t>
  </si>
  <si>
    <t>With atrazine in the environment [control = group (1); treated = group (3)], juvenile exposure</t>
  </si>
  <si>
    <t>Without atrazine in the environment [control = group (4); treated = group (2)], juvenile exposure</t>
  </si>
  <si>
    <t>(1) Animals were Bd positive at capture and then heat treated to clear Bd infection ~16 months before this experiment
(2) Animals were exposed to Bd after 30 days post-implant placement, but none of them got infected. All animals were reexposed to Bd after 60 days post-implant placement (so 30 days after the first Bd inoculation)</t>
  </si>
  <si>
    <t>(1) One control animal (Siren 2) had never been infected. (2) The treated and control animals in exp_id =2 are the same as those in exp_id = 1 because the data here were collected during their second Bd exposure</t>
  </si>
  <si>
    <t>This indicates that the same values from the same group of animals were repeatedly used for different comparisons. This often occurs within an experiment, either (1) different treatment comparisons sharing the same control (A vs C; B vs C), or (2) a group of animals treated as the treatment in one comparison but as the control in another (A vs B; B vs C). The ID is unique across the metadata.</t>
  </si>
  <si>
    <t>(1) infection rate of survivor 70 days post-Bd exposure (excluding death and those that cleared infection) (2) T_cohort_id = 2 is the same as C_cohort_id = 1 (Treated = Itranazole-treated only)</t>
  </si>
  <si>
    <t>(1) Infected survivor only (see text in Results) (2) T_cohort_id = 2 is the same as C_cohort_id = 1 (Treated = Itranazole-treated only)</t>
  </si>
  <si>
    <t>dead_pathogen</t>
  </si>
  <si>
    <t>live_pathogen</t>
  </si>
  <si>
    <t>(1) This study investigated two types of resistance-enhancing intervention, with four treatment groups: (1) Bd metabolites, (2) killed Bd by frozen using liquid nitrogen, (3) Bd metabolites + killed Bd, (4) sham control. I compared (1) vs (4) for the effect of "natural chemical"; (2) vs (4) for the effect of "dead pathogen". I do not extract data from (3) the combined effect because the individual effects of natural chemical [(1) vs (4)] and dead pathogen [(2) vs (4)] have been extracted.</t>
  </si>
  <si>
    <t>killed Bd only</t>
  </si>
  <si>
    <t>Factor (6 levels): "live_pathogen", "dead_pathogen", "natural_chem", "synthetic_pesticide", "probiotic", "other"</t>
  </si>
  <si>
    <t>(1) I treated the adjuvant-only group as a control (not a resistance-enhancing treatment), as the authors stated: ‘Adjuvants used in this study have been used successfully in fish and other anurans (Olivier et al., 1985) and in promoting the recognition of haptens by the anuran immune system’ — suggesting that adjuvants act as ‘helpers’ to generate immune memory for Bd pathogens. However, adjuvants alone do not enhance resistance to subsequent Bd exposure (i.e. they help immune cells recognise Bd but cannot generate Bd-specific memory in the absence of Bd).
(2) the comparison between the control and adjuvant-only groups --&gt; tests the effect of the adjuvant itself (innate immunity). 
(3) the comparison between the adjuvant-only and killed-Bd groups --&gt; tests the effect of the killed Bd antigen (adaptive immunity)
(4) Freunds Complete Adjuvants are killed, dried mycobacteria. It does not belong to inactivated pathogen or natural chemicals.</t>
  </si>
  <si>
    <t>(1) life stage = juvenile = recently metamorphosed, after Gosner stage 46.
(2) This study investigated two types of resistance-enhancing intervention, with three treatment groups: (1) sham control, (2) killed Bd, (3) Bd metabolites + killed Bd. I compared (1) vs (2) for the effect of "dead pathogen". 
(3) The comparison between (2) and (3) may be used to test the effect of ‘natural chemicals’ in the presence of killed Bd. However, I did not extract this comparison because the effect of natural chemicals in the presence of killed Bd may differ from the effect of natural chemicals alone, and it is unclear whether the two interventions act additively or interactively.</t>
  </si>
  <si>
    <t>frogs washed (via pipetting sterilized spring water) before Serratia marcescens inoculation</t>
  </si>
  <si>
    <t>(1) Frogs were wild-caught and then heat treated. The initial infection status was unclear (2) There were three treatments: "BCI: NO reduced original bacteria + NO added new bacteria", "BCR: YES reduced original bacteria + NO added new bacteria", "SMA: YES reduced original bacteria + YES added new bacteria", I consider "BCR" as control. as they are comparable with SMA to test for the effect of adding new bacteria (both groups underwent antibiotic baths) (see Day -2 in Table 2). "BCI" cannot be a proper control, because any differences between BCI and SMA could have resulted from either antibiotic bath or adding new bacteria (we don't know). (3) life stage was answered by the author "I don’t remember us being picky about whether the frogs were juvenile or sexually mature when we collected the animals for this study but I imagine they were mostly adult frogs, or at least adult sized as juvenile cricket frogs are pretty tiny and I imagine we would have worried about how they would have fared in the experiment."</t>
  </si>
  <si>
    <t>Control = BCR (reduced), Treatment = SMA (added)</t>
  </si>
  <si>
    <t>(1) I did not extract the effect of genetically modified Diaphorobacter. sp. (= "Bd + 63 F:vio" vs "Bd") because "Bd + 63 F: vio" frogs underwent BOTH "antibiotic" + "probiotic", while "Bd only" frogs did not undergo either antibiotic or probiotic procedure. Therefore, it is unclear whether any differences between these two groups were due to the manipulation of antibiotics (that remove original microbes) or the addtion of new modified micriobe.
(2) Life_stage = cross-stage (in supplementary material "60-80 subadult-adult frogs…"_) 
(3) time_interval = 1 days given "1 day after probiotic treatment = immediately before Bd exposure"</t>
  </si>
  <si>
    <t>Direct expose a probiotic cocktail: Masillia violacea, Serratia marcescens, Janthinobacterium lividum (purple and white), Chryseobacterium sp, Stenotrophomonas terrae, Pseudomonas soli and genetically modified Diaphorobacter (supplementary Table 2)</t>
  </si>
  <si>
    <t xml:space="preserve">(1) Bacillus thuringiensis subsp. kurstaki is microbial pesticides as insecticidal biocides, which also has the anti-Bd function in vitro
(2) time_intravel = Day 14 (Bd exposure) - Day 7 (the second microbiome exposure) = 7 days
</t>
  </si>
  <si>
    <t>It is unclear whether the Bd load values exclude non-infected individuals in the "treatment" group, as the infection rate is only 60% (meaning 4 individuals were not infected). I assumed that the authors excluded the non-infected individuals when calculating the sample size.</t>
  </si>
  <si>
    <t>Treatment = "symbiont reduced + probiotic + Bd"; Control = "symbionts reduced + Bd"</t>
  </si>
  <si>
    <t>No</t>
  </si>
  <si>
    <t>Factor (3 levels): "Yes, antimicrobial", "Yes, water", "No"</t>
  </si>
  <si>
    <t>antimicrobial_or_not</t>
  </si>
  <si>
    <r>
      <t>If the treatment is classified as ‘</t>
    </r>
    <r>
      <rPr>
        <b/>
        <sz val="11"/>
        <color theme="1"/>
        <rFont val="Aptos Narrow"/>
        <scheme val="minor"/>
      </rPr>
      <t>probiotic</t>
    </r>
    <r>
      <rPr>
        <sz val="11"/>
        <color theme="1"/>
        <rFont val="Aptos Narrow"/>
        <scheme val="minor"/>
      </rPr>
      <t xml:space="preserve">’, specify whether the animals underwent a </t>
    </r>
    <r>
      <rPr>
        <b/>
        <sz val="11"/>
        <color theme="1"/>
        <rFont val="Aptos Narrow"/>
        <scheme val="minor"/>
      </rPr>
      <t>rinsing procedure using antibiotics or other antimicrobial agents</t>
    </r>
    <r>
      <rPr>
        <sz val="11"/>
        <color theme="1"/>
        <rFont val="Aptos Narrow"/>
        <scheme val="minor"/>
      </rPr>
      <t xml:space="preserve"> intended to remove host-associated core skin microbiota. Note that rinsing with water or a neutral medium is not considered here, as it is used to remove only transient microbes and does not affect the core skin microbiota. For other treatment types, enter "NA".</t>
    </r>
  </si>
  <si>
    <t>Yes</t>
  </si>
  <si>
    <t>Raw data "Source_Data_Fig3", calculated by R</t>
  </si>
  <si>
    <t>(1) Two comparison can be extracted (see Figure 1): (a) infect_clear: immunisation (prior exposure) vs sham control (itraconazole_only) (b) synthetic_chem: sham control (intraconazole_only) vs pure control (Bd control). (2) cross-isolate prior (CIP) exposure was not considered because it referred to a different Bd strain used for post-treatment Bd exposure., which was not directly comparable to the itraconazole_only (i.e. different post-treatment environment). (3) clutches = split because "We maintained similar numbers of R. onca from each source area (Northshore and Black Canyon) within each treatment"</t>
  </si>
  <si>
    <t>The treatment group (Exp 2- T_Cohort 2) is the same those in Exp 2- C_cohort 1 (above)</t>
  </si>
  <si>
    <t xml:space="preserve">(1) Two comparison can be extracted (see Figure 1): (a) infect_clear: immunisation (prior exposure) vs sham control (itraconazole_only) (b) synthetic_chem: sham control (intraconazole_only) vs pure control (Bd control). (2)  clutches = split because "We maintained similar numbers of R. onca from each source area (Northshore and Black Canyon) within each treatment" </t>
  </si>
  <si>
    <t>(1) peak infection rate were estimated when all the animals were still alive (Week2), so n_animals were not number of survivors at week20.</t>
  </si>
  <si>
    <t xml:space="preserve">(1) peak Bd loads were estimated among the multiple measurements of each individual across different weeks. Even if the animals were dead at the end of the experiment, once its infection status has been measured once (= all animals) then peak Bd loads can be calculated. Therefore, n_animals = 12 </t>
  </si>
  <si>
    <t>(1) peak infection rate were estimated when all the animals were still alive (Week4), so n_animals were not number of survivors at week20. (2) The treatment group (Exp 2- T_Cohort 2) is the same those in Exp 2- C_cohort 1 (above)</t>
  </si>
  <si>
    <t>(1) peak Bd loads were estimated among the multiple measurements of each individual across different weeks. Even if the animals were dead at the end of the experiment, once its infection status has been measured once (= all animals) then peak Bd loads can be calculated. Therefore, n_animals = 12. (2) The treatment group (Exp 2- T_Cohort 2) is the same those in Exp 2- C_cohort 1 (above)</t>
  </si>
  <si>
    <t>Source Data -&gt; Figure 3a sheet -&gt; Table "Reinfection Alytes: loads and survival" -&gt; only consider "Ind_ID" with Load_dec = 0 at Time = 0 (i.e., uninfected animals at the beginning of post-treatment Bd exposure) (= total N) -&gt; count the number of these "Ind_ID" with Death &lt; 84 (i.e. they died before the end of the experiment) (= total N dead) -&gt; mortality = total N dead / total N</t>
  </si>
  <si>
    <t>(1) Treatment type is poorly reported in the raw data, which will need to refer to supplementary figure legends. (2) Authors suggest mutation is likely to decrease anti-Bd ability in vitro (see introduction), but they left open the possibility that mutat microbiomes increase anti-Bd ability in vivo.</t>
  </si>
  <si>
    <t>(1) Treatment type is poorly reported in the raw data, which will need to refer to supplementary figure legends (2) Authors suggest mutation is likely to decrease anti-Bd ability in vitro (see introduction), but they left open the possibility that mutat microbiomes increase anti-Bd ability in vivo.</t>
  </si>
  <si>
    <t>Control = "Treated" and Treatment = "inoculated" in Fig 1</t>
  </si>
  <si>
    <t>Control = "Naive" and Treatment = "Treated" in Fig 1</t>
  </si>
  <si>
    <t>Control = "APBS injected, Bd exposed", Treatment = "Bd immunized, Bd exposed"</t>
  </si>
  <si>
    <t>Technical_replicate is not mentioned in this study, but in a highly related study (Carey et al. 2006 EcoHealth), the animals were treated individually, so n = sample size = replicates</t>
  </si>
  <si>
    <t>Treatment = pool of all three fungicide types (azoxystrobin, chlorothalonil, mancozeb) + no tadpole Bd exposure; Control = no fungicide + no tadpole Bd exposure</t>
  </si>
  <si>
    <t>Fig 2B "First Bd exposure" -&gt; calculated using "ShinyDigitise" in R</t>
  </si>
  <si>
    <t>Treatment = Double exposure =&gt; Raw data ("File for Joseph Chung") -&gt; calculated by R. 
Control = Delayed exposure =&gt; Figure 2B -&gt; first Bd exposure -&gt; Control -&gt; no death</t>
  </si>
  <si>
    <t>(1) Time_post_Bd = 33 days = Day 155 (Mid-Survey Swab) - Day 122 (the beginning of post-metamorphosis Bd exposure - Fig S1
(2) For delayed exposure: I only considered the survivors measured at Day 155 (while excluding the swab data from dead individuals at the time of death, due to the unknown time_post_Bd)
(3) For double exposure: I only considered individuals that were Bd negative (i.e. Bd load = 0) at the beginning of the second Bd exposure
(4) Because all treatment animals (in the absence of tadpole fungicide exposure) were uninfected, infection intensity was not extracted</t>
  </si>
  <si>
    <t>(1) Effects of fungicides on Bd growth on frogs in the laboratory: Extracted --&gt; 4 fungicide treatments (Mancozeb, Azoxystrobin, Chlorothalonil, or no drug; reapplied weekly until metamorphosis) * 4 dfferent timings when the frogs were exposed to Bd (tadpole only; metamorph only; both tadpole and metamorph; no Bd). Do not consider "no Bd" or "tadpole Bd only" (= simultaneous exposure; because the timing of drug exposure and Bd exposure occurred simultaneously, so cannot separate cause–effect). Only consider the data with "metamorph Bd exposure" because the fungicide treatment ended at metamorphosis 
→ There are two groups: Bd exposure for metamorphs (=delayed exposure) &amp; Bd exposure for both tadpole and metamorph (=double exposure)
→ We can test the effect of 'synthetic pesticide' using the data within "delayed exposure" group (i.e. no tadpole Bd exposure -&gt; metamorph "with" versus "without" tadpole antifungal bath) =&gt; animals with one type of antifungal versus animals with sham bath
→ We can test the effect of 'live pathogen' by comparing data between “double exposure: no fungicide” and “delayed exposure: no fungicide”. That is, in the absence of fungicide, comparing metamorphs with versus without tadpole-stage Bd exposure. Importantly, for animals in the “double exposure” treatment, I only extracted data from those that were Bd-free at the beginning of their second exposure (i.e., uninfected at metamorphosis).
→ Note: I did not consider the comparison between “tadpole fungicide exposure + tadpole Bd exposure” in double exposure versus “tadpole fungicide exposure + no tadpole Bd exposure.” – i.e. in the presence of a fungicide, metamorphs "with" versus "without" tadpole-stage Bd exposure. Not to include such comparison is because it is unclear whether tadpole Bd exposure acts additively or interactively in the presence of fungicide. Thus, the comparison of with versus without tadpole Bd exposure in the presence of fungicide is not equivalent to studies that only compare with versus without prior Bd exposure in the absence of any fungicide. To more accurately capture the effect of live pathogen only in our meta-analysis, I conservatively extracted this effect only in the absence of any other fungicides.
(2) Effect of the fungicide itraconazole on Bd growth on frogs in the laboratory: Not extracted  re-analysis of literature data.
(3) Effect of the fungicide on Bd prevalence in the field: Not extracted  Study detected drug concentrations in the field and associated Bd infection status, but the timing of drug exposure and Bd exposure occurred simultaneously (cannot separate cause-effect).
(4) time_intervals = 71 days in the Result text</t>
  </si>
  <si>
    <t>Result text: (c) Batrachochytrium dendrobatidis abundance and disease susceptibility &amp; author's reply: "None of the Cuban tree frogs died"</t>
  </si>
  <si>
    <t>Result text: All animals survived in the month following the first exposure</t>
  </si>
  <si>
    <t xml:space="preserve">Figure 3: All animals survived, so their Bd load could be measured. </t>
  </si>
  <si>
    <t>Treated = "low dose re-exposure", Control = "Phase 2 (P2) exposed"</t>
  </si>
  <si>
    <t>Result "Survival" (page 107)</t>
  </si>
  <si>
    <t>(1) no significant mortality difference between high-dose and control (2) one death in initial exposure, I assume them to be in the high-dose group, so n = 20 -1 = 19</t>
  </si>
  <si>
    <t>no significant mortality difference between low-dose and control</t>
  </si>
  <si>
    <t>Bd loads may include non-infected frogs because infection prevalence was not provided in the paper</t>
  </si>
  <si>
    <t>The figure legend states, “Values are for prevalence at the end of exposure period 3 for the first immunological resistance experiment.” However, data from "exposure period 3" only include THREE groups (see Extended Data Table 1: Bd exposure-clearance period = 3; also Fig. 2a, open circles). There are FOUR data points for prevalence in the first immunological resistance experiment, suggesting this is actually from exposure period 4. It’s unclear whether this is a typo by the authors.</t>
  </si>
  <si>
    <t>(1) Not sure whether dead individuals were excluded from the Bd load estimates, but I assumed so to calculate sample size (i.e. N = infected + uninfected, but excluding death)
(2) Bd abundance data includes non-infected individuals, while Bd intensity excludes uninfected animals (see "Bd abundance vs Bd intensity" in the Supplementary Information). However, data of Bd intensity are not reported in the paper (only summary statistics shown). Notably, satistical results analysed using Bd abundance vs Bd intensity yielded the same result, indicating that the inclusion of uninfected individuals (= Bd abundance) does not differ from results using infected individuals only (= Bd intensity)</t>
  </si>
  <si>
    <t xml:space="preserve">(1) The control frogs were the same as those in Waddle et al (2024) Nature; (2) T_cohort_ID = 2 are the same animals as C_cohort_ID = 1 </t>
  </si>
  <si>
    <t>Figure 2A -&gt; calculated by "ShinyDigitise" in R -&gt; input extracted data in new file 'Waddle_PhD_peak_intensity' -&gt; calculated in R</t>
  </si>
  <si>
    <t>(1) The control frogs were the same as those in Waddle et al (2024) Nature. 
(2) n_animals = infected survivors only (there was no mortality for these two groups - figure 2c, so n decreased because many animals were uninfected)
(3) T_cohort_ID = 2 are the same animals as C_cohort_ID = 1; 
(4) I used figure 2 to find (a) peak Bd load that include uninfected + infected survivors  (b) its associated day, (c) the number of survivors on this day, (d) the prevalence on this day. Then I recalculated the number of infected survivors on this day, and re-calculated the average of peak Bd loads for infected survivors only.</t>
  </si>
  <si>
    <t>(1) The control frogs were the same as those in Waddle et al (2024) Nature. 
(2) n_animals = infected survivors only (n of treated animals decreased because many of them were uninfected (figure 2b); n = control animals slightly decreased because ~10% died while all infected (figure 2c))
(3) T_cohort_ID = 2 are the same animals as C_cohort_ID = 1; 
(4) I used figure 2 to find (a) peak Bd load that include uninfected + infected survivors  (b) its associated day, (c) the number of survivors on this day, (d) the prevalence on this day. Then I recalculated the number of infected survivors on this day, and re-calculated the average of peak Bd loads for infected survivors only.</t>
  </si>
  <si>
    <t>Data_inclusiveness_flag</t>
  </si>
  <si>
    <t>Factor (3 levels) "ture", "maybe", "false"</t>
  </si>
  <si>
    <t>ture</t>
  </si>
  <si>
    <t>MAYBE</t>
  </si>
  <si>
    <t>The method said n= 20 per treatment, which was different from the raw data: control n=25, killed Bd =20, killed Bd &amp; metabolites n=15, metabolite = 27. I followed the smaple size in raw data</t>
  </si>
  <si>
    <t>(1) The Bd swab data were shown in tank level (replicate). 1 or 2 tadpoles were sampled per tank, while the n_animals were not specified. (2) In the raw data, when I selected Bd_Treatment_Exp = "Bd", the Bd abundance for the control group (i.e., no atrazine + no metyrapone) was shown as either a zero value, a non-zero value, or NA. I am not sure what the difference is between NA and a zero value, so I treated both as uninfected.</t>
  </si>
  <si>
    <t>(1) no significant difference (2) intensity data included UNINFECTED animals (3) not sure the number of death at time of measurement, so I assumed N to be the total number of animals with no death</t>
  </si>
  <si>
    <t>Animals were only swabbed at the end of the 2 week post-Bd exposure, so Bd data did not include those that died before the end of the experiment.</t>
  </si>
  <si>
    <t>The analysis of Bd intensity is the conditional part of a zero-inflation model (i.e., only considering non-zero values), so I assume that the Bd load figure only considers infected individuals.</t>
  </si>
  <si>
    <t>(1) Control individuals are the same as those in exp_id = 2, T_cohort_id = 1 (i.e. 2 Bd exposures in the fourth exposure period).
(2) Treated individuals are the same as those in exp_id = 2, T_cohort_id = 2 (i.e. 3 Bd exposures in the fourth exposure period).
(4) The sample size is unclear because the number of frogs that died was recorded only during the fourth exposure period (Extended Data Table 3). I therefore assumed that the number of individuals at the start of the fourth exposure (n = 20) is the same as the number during the third exposure period.</t>
  </si>
  <si>
    <t>Bd abundance data includes non-infected individuals, while Bd intensity excludes uninfected animals (see "Bd abundance vs Bd intensity" in the Supplementary Information). However, data of Bd intensity are not reported in the paper (only summary statistics shown). Notably, satistical results analysed using Bd abundance vs Bd intensity yielded the same result, indicating that the inclusion of uninfected individuals (= Bd abundance) does not differ from results using infected individuals only (= Bd intensity)</t>
  </si>
  <si>
    <t>(1) Control individuals are the same as those in exp_id = 2, T_cohort_id = 1 (i.e. 2 Bd exposures in the fourth exposure period).
(2) Treated individuals are the same as those in exp_id = 2, T_cohort_id = 3 (i.e. 4 Bd exposures in the fourth exposure period).
(4) The sample size is unclear because the number of frogs that died was recorded only during the fourth exposure period (Extended Data Table 3). I therefore assumed that the number of individuals at the start of the fourth exposure (n = 20) is the same as the number during the third exposure period.</t>
  </si>
  <si>
    <t>(1) It is unclear whether infection prevalence excludes dead individuals (Extended Data Table 3) (I assumed it does when calculating sample size).</t>
  </si>
  <si>
    <t>(1) It is unclear whether infection prevalence excludes dead individuals (Extended Data Table 3) (I assumed it does when calculating sample size)</t>
  </si>
  <si>
    <t xml:space="preserve">(1) Time_post_Bd: Day 15 (trait measurement with peak value compared to Day 8) - Day 4 (the start of post-treatment Bd exposure) = 11 days; (2) I assumed the mean Bd loads were only considered 'infected individuals' and I assumed those infected individuals were evenly distributed from three container for each treatment group (so n_replicates = 3). (3) The animals were always placed in a Bd-existing pond, but they were all uninfected at the start of the experiment (Day 1 in supplemental Table B.5). I therefore consider the start date of post-treatment Bd exposure to be the end date of probiotic treatment (Day 4). </t>
  </si>
  <si>
    <t>Unclear whether the control group underwent a sham procedure for the peptide treatment (a 2-min bath) (note: the author described a sham procedure for Bd exposure but not for the peptide treatment);</t>
  </si>
  <si>
    <t>(1) time_interval = 34 weeks after their initial exposure to SLL; (3) clutches = "split" as "In each group, we maintained relatively comparable numbers of frogs (=5 or 6) from each source area"</t>
  </si>
  <si>
    <t>Proportion infected at a set time point</t>
  </si>
  <si>
    <t>the starting date (12/4/2017) of the second Bd exposure was estimated by Figure 2(a). The second Bd measurement (which looked like peak but acutally not) during the second exposure is 27/4/2017 (based on Adams_etal_2022_Frog_Lab_Data), which was 15 days after the Bd re-exposure (estimated using ShinyDigitise)</t>
  </si>
  <si>
    <t>Adams_etal_2022_Frog_Lab_Data -&gt; calculated in R (For Lab Exp 2, select all date in 2018 -&gt; For control animals, select 'treatgp = 1x, treatgp2 = naive'; For immunised animals, select 'treatgp = 2x, treatgp2 = reinfected' -&gt; calculate the % infected at a set time point -&gt; find the peak % with the set time point)</t>
  </si>
  <si>
    <t>Adams_etal_2022_Frog_Lab_Data -&gt; For Lab Exp 2, select all date in 2018 -&gt; For control animals, select 'treatgp = 1x, treatgp = naive'; For immunised animals, select 'treatgp = 3x, treatgp = reinfected' -&gt; find the peak value of ZE for each individuals (note: do not consider "zero" because they were uninfected) -&gt; run calculation in R</t>
  </si>
  <si>
    <t>Adams_etal_2022_Frog_Lab_Data -&gt; calculated in R (For Lab Exp 2, select all date in 2018 -&gt; For control animals, select 'treatgp = 1x, treatgp2 = naive'; For immunised animals, select 'treatgp = 3x, treatgp2 = reinfected' -&gt; calculate the % infected at a set time point -&gt; find the peak % with the set time point)</t>
  </si>
  <si>
    <t>Adams_etal_2022_Frog_Lab_Data -&gt; For Lab Exp 2, select all date in 2018 -&gt; For control animals, select 'treatgp = 1x, treatgp = naive'; For immunised animals, select 'treatgp = 2x, treatgp = reinfected' -&gt; find the peak value of ZE for each individuals (note: do not consider "zero" because they were uninfected) -&gt; run calculation in R</t>
  </si>
  <si>
    <t>% infected at a set time point</t>
  </si>
  <si>
    <t>Bd re-exposure in Experiment 2 occurred on 11/4/2018 (the first date of Bd detection was 16/4/2018 see [Adams_etal_2022_Frog_Lab_Data], which is 5 days after Bd re-exposure (Figure 3a estimated by ShinyDigitise)</t>
  </si>
  <si>
    <t>n_infection_measure</t>
  </si>
  <si>
    <t>Adams_etal_2022_Frog_Lab_Data -&gt; run calculation in R (For Lab Exp 1, select all date in 2017 -&gt; For control animals, select 'treatgp = 1x, treatgp2 = naïve'; For immunised animals, select 'treatgp = 2x, treatgp2 = reinfected' -&gt; calculate % of infected for 27/5/2017 and 3/5/2017 -&gt; report the peak % at a set time point)</t>
  </si>
  <si>
    <t>Adams_etal_2022_Frog_Lab_Data -&gt; For Lab Exp 1, select all date in 2017 -&gt; For control animals, select 'treatgp = 1x, treatgp2 = naïve'; For immunised animals, select 'treatgp = 2x, treatgp2 = reinfected' -&gt; find the peak value of ZE for each individuals (note: do not consider "zero" because they were uninfected) -&gt; calculated in R</t>
  </si>
  <si>
    <t>Not sure if Bd loads excluded uninfected individuals</t>
  </si>
  <si>
    <t>treatment = "perior exposure heat", control = "heat control".</t>
  </si>
  <si>
    <t>I first calculated the infection rate for each week (from W1 to W13, except for W0 when all animals were just exposed to Bd and were uninfected) and then reported the peak % infected with the associated time point</t>
  </si>
  <si>
    <t>largest % infected at a set time point</t>
  </si>
  <si>
    <t>(1) uninfected individuals (its = 0) and dead individuals (its = NA) were excluded. (2) I selected the peak Bd loads for each frog across all sets time points (n = 13 measures). (3) I then took the average of the "peak value" and the average of its associated week for each treatment. (4) n_animals = the number of animals that had at least one measurement of Bd loads (so the peak Bd loads can be determined). This n_animals may be bigger than number of survivors at Week 14, because some individuals were measured for Bd loads at first few weeks and died later (but they still had peak Bd loads data)</t>
  </si>
  <si>
    <t>peak infection rate at a set week</t>
  </si>
  <si>
    <t>(1) I first calculated the infection rate for each week (from W1 to W15). (2) I then reported the peak weekly infection rate with the assocaited week. (3) "Treatment" group included animals infect_clear either once or twice (see Supplementary Table 1)</t>
  </si>
  <si>
    <t>Unshaded -&gt; treatment = "prior-exposure", control = "naive".'</t>
  </si>
  <si>
    <t>Shaded -&gt; treatment = "prior-exposure", control = "naive".'</t>
  </si>
  <si>
    <t>(1) I first calculated the mean Bd loads for each week per treatment (excluding uninfected and dead individuals (ITS = "0" or "NA")) (2) I then selected the largest mean Bd loads among all weekly measurements, alongside the associated week (= time_post_Bd) and the number of animals measured in that week (= n_animals) (3) I was not able to calculate peak Bd load per each individual (becasue frog ID was not provided in the raw data) (4) "Treated" group included animals that were infect_clear once or twice (see Supplementary Table 1)</t>
  </si>
  <si>
    <t>The largest "mean Bd loads" at a set week</t>
  </si>
  <si>
    <t>Supplementary Materials (In vivo Acris Experiment Data from Serratia marcescens shapes cutaneous bacterial communities and influences survival of an amphibian host) -&gt; calculated by R</t>
  </si>
  <si>
    <t>10.6084/m9.figshare.c.4703306.v2</t>
  </si>
  <si>
    <t>(1) I exclude the individuals that tested Bd postive at capture (Day 1; see Fig S7B), because there was not clearance procedure in this study, so they were not Bd negative at the beginning of the post-treatment Bd exposure period. (2) about the predictive effect of treatment: Washed vs unwashed: no directional prediction, the authors treated it as exploratory. (3) Bd load was not reported (only infected or not)</t>
  </si>
  <si>
    <t>Table 1 for sample size. Bd was swabbed weekly for a total of 9 weeks (from Day 6 post-Bd exposure = week 1)</t>
  </si>
  <si>
    <t>Fig 2a exposure period 3 -&gt; calculated using "ShinyDigitise" in R</t>
  </si>
  <si>
    <t>Fig 2a exposure period 4 -&gt; calculated using "ShinyDigitise" in R</t>
  </si>
  <si>
    <t>Bd loads may include non-infected frogs</t>
  </si>
  <si>
    <t>Peak Bd value (Fig 3b) -&gt; caculated using "ShinyDigitise" in R.  
N of survivors  [% survival (in Fig 2) * total N (in Table 1)]  at the peak associated time of measure = 100% * 32 for "inoculated" and 100%* 11 for "treated"</t>
  </si>
  <si>
    <t>Peak Bd value (Fig 3b) -&gt; caculated using "ShinyDigitise" in R.  
N of survivors  [% survival (in Fig 2) * total N (in Table 1)]  at the peak associated time of measure = 100% * 11 for "treated" and 100%* 28 for "naive"</t>
  </si>
  <si>
    <t>(1) Exposures and culturing of B. dendrobatidis and J. lividum (e.g., time interval and sham procedures for the Bd group that did not receive probiotic treatment) followed the methods described in Harris et al. (2009), The ISME Journal.
(2) Infection rate is not reported.</t>
  </si>
  <si>
    <t>Bd loads included non-infected frogs: the results state that "Bd cell number increased to above 13,000 zoospores (range: 0–98,000)." Since the reported range includes zero genome equivalents, some individuals were uninfected at days 39.</t>
  </si>
  <si>
    <t>Figure 3 reports the infection intensity at the time of each individual’s death. The Bd load values (i.e., &gt;10⁵) were higher than those shown in Figure 2. However, since individuals died at different times and no raw data were provided, the time_post_Bd could not be estimated. I therefore used Figure 2, which includes known days post-Bd exposure</t>
  </si>
  <si>
    <t>(1) Bd-only control: 1 survivor at week 20 displayed Bd symptoms. Bacteria + Bd: had no detectable zoospores throughout sampling points. (2) n_infection_measure = 1 because the infection status of control group (= Bd only) was only reported at week 20 (although the treated animals (probiotic + Bd) were always uninfected throughout three time measures)</t>
  </si>
  <si>
    <t>Bd loads included uninfected frogs (Fig 4b -&gt; mean = 0 at Week 0; and the fact that the control group (no Bd exposure =&gt; Bd load must be 0) was shown)</t>
  </si>
  <si>
    <t>(1) "Fraction infeted" was collected at some point during the experiment, (2) I use the mid-point of day 108 = day 54. n_infection_measure = weekly Bd measure for a period of 108 days (= 108/7 = ~15)</t>
  </si>
  <si>
    <t>(1) Time_post_Bd is unclear, so I used the midpoint of the entire experiment (108 / 2 = 54 days). It is noted that "the maximum zoospore load usually occurred at the time of death" (see Figs 3–5). However, it is not possible to determine the time of death for each individual from Figs 3–5 due to overlapping lines and lack of individual identification. (2) "Fraction infeted" was collected at some point during the experiment, (2) I use the mid-point of day 108 = day 54. n_infection_measure = weekly Bd measure for a period of 108 days (= 108/7 = ~15)</t>
  </si>
  <si>
    <t>(1) I only considered survivors at the end of the experiment. (2) The text stated "0 of 3 exposed toadlets that were treated with peptides were infected by the end of the experiment". The three individuals were pooled between treatment 4 (peptide frist -&gt; then Bd) + treatment 5 (Bd first -&gt; then peptide). According to survival plot (Fig 1a), Treatment 4 (prophylactic AMP treatment)  had double survival rate than Treatment 5 (remedial AMP treatment) at the end of the experiment =&gt; so n = 2 for Treatment 4, and n = 1 for Treatment 5 at the end of the experiment. so N_animal for treatment 4 = 2</t>
  </si>
  <si>
    <t>No frogs were infected</t>
  </si>
  <si>
    <t>Exposed to live Bsal, but never infected</t>
  </si>
  <si>
    <t>infection_clear_type</t>
  </si>
  <si>
    <t>Factor (3 levels) "heat", "chemical" "none"</t>
  </si>
  <si>
    <t>heat</t>
  </si>
  <si>
    <t>The animals were cured by plant chemical (extracts from either Eucalyptus camaladulensis or Quercus emoryi)</t>
  </si>
  <si>
    <t>chemcial</t>
  </si>
  <si>
    <r>
      <t>For the "</t>
    </r>
    <r>
      <rPr>
        <b/>
        <sz val="11"/>
        <color theme="1"/>
        <rFont val="Aptos Narrow"/>
        <scheme val="minor"/>
      </rPr>
      <t>live_pathogen</t>
    </r>
    <r>
      <rPr>
        <sz val="11"/>
        <color theme="1"/>
        <rFont val="Aptos Narrow"/>
        <scheme val="minor"/>
      </rPr>
      <t>" treatment, enter the approach used to clear the infection (see infection_clear_type)
For the treatment is classified as “</t>
    </r>
    <r>
      <rPr>
        <b/>
        <sz val="11"/>
        <color theme="1"/>
        <rFont val="Aptos Narrow"/>
        <scheme val="minor"/>
      </rPr>
      <t>natural_chem" produced by microbes</t>
    </r>
    <r>
      <rPr>
        <sz val="11"/>
        <color theme="1"/>
        <rFont val="Aptos Narrow"/>
        <scheme val="minor"/>
      </rPr>
      <t xml:space="preserve"> or “</t>
    </r>
    <r>
      <rPr>
        <b/>
        <sz val="11"/>
        <color theme="1"/>
        <rFont val="Aptos Narrow"/>
        <scheme val="minor"/>
      </rPr>
      <t>Probiotic</t>
    </r>
    <r>
      <rPr>
        <sz val="11"/>
        <color theme="1"/>
        <rFont val="Aptos Narrow"/>
        <scheme val="minor"/>
      </rPr>
      <t xml:space="preserve">”, specify the </t>
    </r>
    <r>
      <rPr>
        <b/>
        <sz val="11"/>
        <color theme="1"/>
        <rFont val="Aptos Narrow"/>
        <scheme val="minor"/>
      </rPr>
      <t>species name</t>
    </r>
    <r>
      <rPr>
        <sz val="11"/>
        <color theme="1"/>
        <rFont val="Aptos Narrow"/>
        <scheme val="minor"/>
      </rPr>
      <t xml:space="preserve"> of the anti-Bd microbe
For "</t>
    </r>
    <r>
      <rPr>
        <b/>
        <sz val="11"/>
        <color theme="1"/>
        <rFont val="Aptos Narrow"/>
        <scheme val="minor"/>
      </rPr>
      <t>other</t>
    </r>
    <r>
      <rPr>
        <sz val="11"/>
        <color theme="1"/>
        <rFont val="Aptos Narrow"/>
        <scheme val="minor"/>
      </rPr>
      <t xml:space="preserve">" treatment, specify the details
</t>
    </r>
  </si>
  <si>
    <t>none</t>
  </si>
  <si>
    <t>same</t>
  </si>
  <si>
    <t>different</t>
  </si>
  <si>
    <t>GPL</t>
  </si>
  <si>
    <t>LC63</t>
  </si>
  <si>
    <t>isolate SMR</t>
  </si>
  <si>
    <t>isolate CL</t>
  </si>
  <si>
    <t>high</t>
  </si>
  <si>
    <t>high (CJB5, CJB7) + low (TST77, CJB4)</t>
  </si>
  <si>
    <t>JEL 412</t>
  </si>
  <si>
    <t>AbercrombieNP-L.booroolongensis-09-LB-P7</t>
  </si>
  <si>
    <t>JEL275</t>
  </si>
  <si>
    <t>(1) Life_stage = juvenile, as the text said "young boreal toads". Also, animals in a highly related study (Carey et al 2006 EcoHealth) said "toadlet" (2) Post_Bd_strain was not mentioned, associated with a cited paper "Carey et al 2006 EcoHealth", so I putted the same strain  (the focal species is the same in both studies)</t>
  </si>
  <si>
    <t>JEL422</t>
  </si>
  <si>
    <t>JEL215</t>
  </si>
  <si>
    <t>LJR119</t>
  </si>
  <si>
    <t>FMB003</t>
  </si>
  <si>
    <t>TST75</t>
  </si>
  <si>
    <t>low</t>
  </si>
  <si>
    <t>treat_pathogen</t>
  </si>
  <si>
    <t>pathogen_matched_or_not</t>
  </si>
  <si>
    <t>post_pathogen_strain</t>
  </si>
  <si>
    <t>pathogen_virulence</t>
  </si>
  <si>
    <t>pathogen_passage_history</t>
  </si>
  <si>
    <t>Location_post_exposure</t>
  </si>
  <si>
    <t>pathogen_type</t>
  </si>
  <si>
    <t>Bd</t>
  </si>
  <si>
    <t>Bsal</t>
  </si>
  <si>
    <t>region_country</t>
  </si>
  <si>
    <t>synthetic_antiparastics</t>
  </si>
  <si>
    <t>(1) N = 20 at the start and the end of the experiment, so no death (2) One individual in the ‘treated’ group was naturally infected before the experimental Bd exposure. I remove it (so N for treatment = 19) 
(2) No antibiotic wash but rinsed with medium to remove transient bacteria from the environment</t>
  </si>
  <si>
    <t>(1) One individual in the ‘treated’ group was naturally infected before the experimental Bd exposure. I treated it as still Bd-positive at 14 days post-exposure and excluded it, yielding a total sample size of N = 19, with Bd detected in 15 individuals for "treated" (=Bacteria + Bd) group
(2) No antibiotic wash but rinsed with medium to remove transient bacteria from the environment</t>
  </si>
  <si>
    <t>No antibiotic wash but rinsed with medium to remove transient bacteria from the environment</t>
  </si>
  <si>
    <t>(1) Treatment type is poorly reported in the raw data, which will need to refer to supplementary figure legends. (2) Authors suggest mutation is likely to decrease anti-Bd ability in vitro (see introduction), but they left open the possibility that mutat microbiomes increase anti-Bd ability in vivo.
(2) No antimicrobial agents, but wash with water to remove transient bacteria from the environment</t>
  </si>
  <si>
    <t>(1) Treatment type is poorly reported in the raw data, which will need to refer to supplementary figure legends
(2) No antimicrobial agents, but wash with water to remove transient bacteria from the environment</t>
  </si>
  <si>
    <t>(1) Treatment type is poorly reported in the raw data, which will need to refer to supplementary figure legends. (2) Authors suggest mutation is likely to decrease anti-Bd ability in vitro (see introduction), but they left open the possibility that mutat microbiomes increase anti-Bd ability in vivo.
(3) No antimicrobial agents, but wash with water to remove transient bacteria from the environment</t>
  </si>
  <si>
    <t>(1) In the control (Bd only) group, the infection rate was 100% for both time of measurements. However, for the treated (Bacteria-Bd) group, the rate was 60% without specifying the time_post_exposure. So I take the average time = [(29-14) + (23-14)] / 2 = 12
(2) No antimicrobial agents, but wash with water to remove transient bacteria from the environment</t>
  </si>
  <si>
    <t>No antimicrobial agents, but wash with water to remove transient bacteria from the environment</t>
  </si>
  <si>
    <t>(1) total N = 6+8+7+10 = 31. total swab = 186 swabs across 6 points (=&gt; 31*6 = 186), so no individuals died
(2) No antimicrobial agents, but wash with water to remove transient bacteria from the environment</t>
  </si>
  <si>
    <t>(1) N = 6.5 because there were 60 frogs in each of the 6 treatments. 30 of them were naturally infected (with low Bd load but not cleared infection before experiment) and 30 of them were uninfected. They were randomly assigned into each treatment, so I assume half of the frogs in each group (N= 13 for Bd exposure) should be exclude. 
(2) No antimicrobial agents, but wash with water to remove transient bacteria from the environment</t>
  </si>
  <si>
    <t>intensity_average</t>
  </si>
  <si>
    <t>intensity_other</t>
  </si>
  <si>
    <t>intensity_peak</t>
  </si>
  <si>
    <t>prevalence_peak</t>
  </si>
  <si>
    <t>prevalence_average</t>
  </si>
  <si>
    <t>prevalence_other</t>
  </si>
  <si>
    <t>T_time_post</t>
  </si>
  <si>
    <t>C_time_post</t>
  </si>
  <si>
    <t>flag_details</t>
  </si>
  <si>
    <t>(1) Bd treatment: the only survivor displayed Bd symptoms. Bacteria + Bd: had no detectable zoospores throughout sampling points.
(2) SE for the Bd group is shown in week 20 of Fig. 1c. However, there should have been only one individual in the Bd group at the end of the experiment (see Result -&gt; Survival), so I’m not sure how the SE was calculated, and I did not extract it.</t>
  </si>
  <si>
    <t xml:space="preserve">(1) time_interval = the end of experiment (Day46) - the beginning of the post-treatment Bd exposure (one day after the 3 week vacciniation = Day 22) = 24 days. I did not consider death before Day 22
(2) Experiment should be 5 weeks (3 week vaccination + 2 week post-treatment Bd exposure) = 35 days, but the experiment end at Day 46 in raw data. Not sure why, but I calculated the mortality occurred between Day 22 (one day after the 3-week vacciniation = the start of post-treatment Bd exposure) and Day 46 </t>
  </si>
  <si>
    <t>(1) N = 30 (original sample size) × 0.94 (survival rate) × infection rate (control = 74.77%, treated = 58.03%) → (1) The Bd loads were only measured at the end of the experiment (Day 24), so I assumed that they did not include animals that died during the experiment. (2) The Bd loads were estimated using zero-inflated models (with an intercept-only for the zero-inflation component), so the values were only from the conditional part of the model (= non-zero values). Therefore, I assumed the values were only from infected survivors. (3) Bd loads were values estimated by GLM (negative binomial) using emmeans</t>
  </si>
  <si>
    <t xml:space="preserve">State any assumptions that were made when extracting the data. </t>
  </si>
  <si>
    <t>Explain concerns regarding data inclusiveness
E.g.
(2) The study did not mention whether the measurement of Bd loads considered only infected survivors.</t>
  </si>
  <si>
    <r>
      <t>Flag indicating whether the dataset may have inconsistencies in animal inclusion. Specifically, "prevalence" data should only account for survivors; "Bd load" data should only include infected survivors.
"</t>
    </r>
    <r>
      <rPr>
        <b/>
        <sz val="11"/>
        <color theme="1"/>
        <rFont val="Aptos Narrow"/>
        <scheme val="minor"/>
      </rPr>
      <t>TRUE</t>
    </r>
    <r>
      <rPr>
        <sz val="11"/>
        <color theme="1"/>
        <rFont val="Aptos Narrow"/>
        <family val="2"/>
        <scheme val="minor"/>
      </rPr>
      <t>" indicate issues that DEAD animals were included in the prevalence data, or UNINFECTED and/or DEAD animals were included in the intensity data; "</t>
    </r>
    <r>
      <rPr>
        <b/>
        <sz val="11"/>
        <color theme="1"/>
        <rFont val="Aptos Narrow"/>
        <scheme val="minor"/>
      </rPr>
      <t>MAYBE</t>
    </r>
    <r>
      <rPr>
        <sz val="11"/>
        <color theme="1"/>
        <rFont val="Aptos Narrow"/>
        <family val="2"/>
        <scheme val="minor"/>
      </rPr>
      <t>" suggests uncertainty in how animals were included, whether control animals experienced sham procedure, or whether animals were uninfected at the beginning of the post-treatment pathogen exposure; or "</t>
    </r>
    <r>
      <rPr>
        <b/>
        <sz val="11"/>
        <color theme="1"/>
        <rFont val="Aptos Narrow"/>
        <scheme val="minor"/>
      </rPr>
      <t>FALSE</t>
    </r>
    <r>
      <rPr>
        <sz val="11"/>
        <color theme="1"/>
        <rFont val="Aptos Narrow"/>
        <family val="2"/>
        <scheme val="minor"/>
      </rPr>
      <t>" indicates no concern.</t>
    </r>
  </si>
  <si>
    <t>Indicate whether there are additional variables distinguishing cohort_IDs but are not captured by other columns.
This is common in studies that apply different levels of the same treatment type. For example, an experiment with varying drug concentrations for 'synthetic_antiparastics'. Each drug concentration should have a unique cohort_ID.</t>
  </si>
  <si>
    <t>Factor (4 levels): "SD", "SE", "95% CI", "NA"</t>
  </si>
  <si>
    <t>Unique identifier used to distinguish a group of animals (irrespective of treatment or control) used in one comparison appears as one of the groups (irrespective of treatment or control) in another comparison. The ID is unique throughout the metadata.
Within an experiment, this indicates: (1) different traits (mortality, prevalence, intensity) measured in the same group comparison (A vs B), (2) different treatment comparisons (A vs C, B vs C) sharing the same control (e.g. C), or (3) a group of animals (e.g. B) treated as the treatment in one comparison (B vs C) but as the control in another (A vs B).
Between experiments or studies, this indicate the same animals being repeatedly used under different setups (e.g., Experiment 1: A vs B at the larval stage; Experiment 2: A vs B at the adult stage).</t>
  </si>
  <si>
    <t>Day</t>
  </si>
  <si>
    <r>
      <rPr>
        <b/>
        <sz val="11"/>
        <color theme="1"/>
        <rFont val="Aptos Narrow"/>
        <scheme val="minor"/>
      </rPr>
      <t>Elapsed days between post-treatment pathogen exposure and trait measurement (T = treatment; C = control)</t>
    </r>
    <r>
      <rPr>
        <sz val="11"/>
        <color theme="1"/>
        <rFont val="Aptos Narrow"/>
        <scheme val="minor"/>
      </rPr>
      <t xml:space="preserve">
(1) If a </t>
    </r>
    <r>
      <rPr>
        <b/>
        <sz val="11"/>
        <color theme="1"/>
        <rFont val="Aptos Narrow"/>
        <scheme val="minor"/>
      </rPr>
      <t>peak value</t>
    </r>
    <r>
      <rPr>
        <sz val="11"/>
        <color theme="1"/>
        <rFont val="Aptos Narrow"/>
        <scheme val="minor"/>
      </rPr>
      <t xml:space="preserve"> was reported, enter the time elapsed until the</t>
    </r>
    <r>
      <rPr>
        <b/>
        <sz val="11"/>
        <color theme="1"/>
        <rFont val="Aptos Narrow"/>
        <scheme val="minor"/>
      </rPr>
      <t xml:space="preserve"> specific time point</t>
    </r>
    <r>
      <rPr>
        <sz val="11"/>
        <color theme="1"/>
        <rFont val="Aptos Narrow"/>
        <scheme val="minor"/>
      </rPr>
      <t xml:space="preserve"> at which the peak had reached.
(2) If an</t>
    </r>
    <r>
      <rPr>
        <b/>
        <sz val="11"/>
        <color theme="1"/>
        <rFont val="Aptos Narrow"/>
        <scheme val="minor"/>
      </rPr>
      <t xml:space="preserve"> average value</t>
    </r>
    <r>
      <rPr>
        <sz val="11"/>
        <color theme="1"/>
        <rFont val="Aptos Narrow"/>
        <scheme val="minor"/>
      </rPr>
      <t xml:space="preserve"> was reported, enter the </t>
    </r>
    <r>
      <rPr>
        <b/>
        <sz val="11"/>
        <color theme="1"/>
        <rFont val="Aptos Narrow"/>
        <scheme val="minor"/>
      </rPr>
      <t xml:space="preserve">midpoint </t>
    </r>
    <r>
      <rPr>
        <sz val="11"/>
        <color theme="1"/>
        <rFont val="Aptos Narrow"/>
        <scheme val="minor"/>
      </rPr>
      <t xml:space="preserve">of the entire exposure period (e.g., "10" if the period lasted 20 days).
(3) If different individuals were </t>
    </r>
    <r>
      <rPr>
        <b/>
        <sz val="11"/>
        <color theme="1"/>
        <rFont val="Aptos Narrow"/>
        <scheme val="minor"/>
      </rPr>
      <t>measured at different time points</t>
    </r>
    <r>
      <rPr>
        <sz val="11"/>
        <color theme="1"/>
        <rFont val="Aptos Narrow"/>
        <scheme val="minor"/>
      </rPr>
      <t xml:space="preserve">, enter the </t>
    </r>
    <r>
      <rPr>
        <b/>
        <sz val="11"/>
        <color theme="1"/>
        <rFont val="Aptos Narrow"/>
        <scheme val="minor"/>
      </rPr>
      <t>average elapsed days</t>
    </r>
    <r>
      <rPr>
        <sz val="11"/>
        <color theme="1"/>
        <rFont val="Aptos Narrow"/>
        <scheme val="minor"/>
      </rPr>
      <t xml:space="preserve"> across individuals.
(4) M</t>
    </r>
    <r>
      <rPr>
        <b/>
        <sz val="11"/>
        <color theme="1"/>
        <rFont val="Aptos Narrow"/>
        <scheme val="minor"/>
      </rPr>
      <t xml:space="preserve">ortality </t>
    </r>
    <r>
      <rPr>
        <sz val="11"/>
        <color theme="1"/>
        <rFont val="Aptos Narrow"/>
        <scheme val="minor"/>
      </rPr>
      <t xml:space="preserve">was reported as a </t>
    </r>
    <r>
      <rPr>
        <b/>
        <sz val="11"/>
        <color theme="1"/>
        <rFont val="Aptos Narrow"/>
        <scheme val="minor"/>
      </rPr>
      <t xml:space="preserve">cumulative values </t>
    </r>
    <r>
      <rPr>
        <sz val="11"/>
        <color theme="1"/>
        <rFont val="Aptos Narrow"/>
        <scheme val="minor"/>
      </rPr>
      <t>over the post-treatment pathogen exposure period, enter the day</t>
    </r>
    <r>
      <rPr>
        <b/>
        <sz val="11"/>
        <color theme="1"/>
        <rFont val="Aptos Narrow"/>
        <scheme val="minor"/>
      </rPr>
      <t xml:space="preserve"> at the end</t>
    </r>
    <r>
      <rPr>
        <sz val="11"/>
        <color theme="1"/>
        <rFont val="Aptos Narrow"/>
        <scheme val="minor"/>
      </rPr>
      <t xml:space="preserve"> of the exposure period. With 100% mortality, the time_post_Bd = when the last animals died in this treatment group (instead of the end of the experiment).
(5) If the authors described the outcomes as "cumulative infection", "total infection", "overall prevalence", enter the time at the end of the post-treatment exposure period</t>
    </r>
  </si>
  <si>
    <t>T_time_post
&amp;
C_time_post</t>
  </si>
  <si>
    <r>
      <t>For '</t>
    </r>
    <r>
      <rPr>
        <b/>
        <sz val="11"/>
        <color theme="1"/>
        <rFont val="Aptos Narrow"/>
        <scheme val="minor"/>
      </rPr>
      <t>prevalence</t>
    </r>
    <r>
      <rPr>
        <sz val="11"/>
        <color theme="1"/>
        <rFont val="Aptos Narrow"/>
        <scheme val="minor"/>
      </rPr>
      <t>' and '</t>
    </r>
    <r>
      <rPr>
        <b/>
        <sz val="11"/>
        <color theme="1"/>
        <rFont val="Aptos Narrow"/>
        <scheme val="minor"/>
      </rPr>
      <t>intensity</t>
    </r>
    <r>
      <rPr>
        <sz val="11"/>
        <color theme="1"/>
        <rFont val="Aptos Narrow"/>
        <scheme val="minor"/>
      </rPr>
      <t>' data, enter the number of measure (qPCR swab) throughout the experiment. Enter "NA" for mortality data</t>
    </r>
  </si>
  <si>
    <t>Factor (7 levels): "mortality", "prevalence_peak", "prevalence_average", "prevalence_other", "intensity_peak", "intensity_average", "intensity_other"</t>
  </si>
  <si>
    <r>
      <rPr>
        <b/>
        <sz val="11"/>
        <color rgb="FF0070C0"/>
        <rFont val="Aptos Narrow (Body)"/>
      </rPr>
      <t>"Mortality":</t>
    </r>
    <r>
      <rPr>
        <b/>
        <sz val="11"/>
        <color theme="1"/>
        <rFont val="Aptos Narrow"/>
        <scheme val="minor"/>
      </rPr>
      <t xml:space="preserve"> Number of deaths / total number of treated animals. (</t>
    </r>
    <r>
      <rPr>
        <sz val="11"/>
        <color theme="1"/>
        <rFont val="Aptos Narrow"/>
        <family val="2"/>
        <scheme val="minor"/>
      </rPr>
      <t>1</t>
    </r>
    <r>
      <rPr>
        <b/>
        <sz val="11"/>
        <color theme="1"/>
        <rFont val="Aptos Narrow"/>
        <scheme val="minor"/>
      </rPr>
      <t>)</t>
    </r>
    <r>
      <rPr>
        <sz val="11"/>
        <color theme="1"/>
        <rFont val="Aptos Narrow"/>
        <family val="2"/>
        <scheme val="minor"/>
      </rPr>
      <t xml:space="preserve"> If "survival rate" was reported, convert it to "mortality rate." </t>
    </r>
    <r>
      <rPr>
        <b/>
        <sz val="11"/>
        <color theme="1"/>
        <rFont val="Aptos Narrow"/>
        <scheme val="minor"/>
      </rPr>
      <t>(</t>
    </r>
    <r>
      <rPr>
        <sz val="11"/>
        <color theme="1"/>
        <rFont val="Aptos Narrow"/>
        <family val="2"/>
        <scheme val="minor"/>
      </rPr>
      <t>2</t>
    </r>
    <r>
      <rPr>
        <b/>
        <sz val="11"/>
        <color theme="1"/>
        <rFont val="Aptos Narrow"/>
        <scheme val="minor"/>
      </rPr>
      <t>)</t>
    </r>
    <r>
      <rPr>
        <sz val="11"/>
        <color theme="1"/>
        <rFont val="Aptos Narrow"/>
        <family val="2"/>
        <scheme val="minor"/>
      </rPr>
      <t xml:space="preserve"> Include all deaths </t>
    </r>
    <r>
      <rPr>
        <b/>
        <sz val="11"/>
        <color theme="1"/>
        <rFont val="Aptos Narrow"/>
        <scheme val="minor"/>
      </rPr>
      <t>(pathogen</t>
    </r>
    <r>
      <rPr>
        <sz val="11"/>
        <color theme="1"/>
        <rFont val="Aptos Narrow"/>
        <family val="2"/>
        <scheme val="minor"/>
      </rPr>
      <t>-related and unrelated</t>
    </r>
    <r>
      <rPr>
        <b/>
        <sz val="11"/>
        <color theme="1"/>
        <rFont val="Aptos Narrow"/>
        <scheme val="minor"/>
      </rPr>
      <t>)</t>
    </r>
    <r>
      <rPr>
        <sz val="11"/>
        <color theme="1"/>
        <rFont val="Aptos Narrow"/>
        <family val="2"/>
        <scheme val="minor"/>
      </rPr>
      <t xml:space="preserve"> that occurred during the post-treatment pathogen exposure period. </t>
    </r>
    <r>
      <rPr>
        <b/>
        <sz val="11"/>
        <color theme="1"/>
        <rFont val="Aptos Narrow"/>
        <scheme val="minor"/>
      </rPr>
      <t>(</t>
    </r>
    <r>
      <rPr>
        <sz val="11"/>
        <color theme="1"/>
        <rFont val="Aptos Narrow"/>
        <family val="2"/>
        <scheme val="minor"/>
      </rPr>
      <t>3</t>
    </r>
    <r>
      <rPr>
        <b/>
        <sz val="11"/>
        <color theme="1"/>
        <rFont val="Aptos Narrow"/>
        <scheme val="minor"/>
      </rPr>
      <t>)</t>
    </r>
    <r>
      <rPr>
        <sz val="11"/>
        <color theme="1"/>
        <rFont val="Aptos Narrow"/>
        <family val="2"/>
        <scheme val="minor"/>
      </rPr>
      <t xml:space="preserve"> Exclude any animals that died before pathogen exposure. (4) If 100% mortality is reached before the end of the experiment, then "time_post_pathogen" should be recorded as the time when all animals in the group died, rather than the end of the experiment. If any deaths occurred during the resistance-enhancing treatment period, specify this in the "Comments" column.</t>
    </r>
    <r>
      <rPr>
        <b/>
        <sz val="11"/>
        <color theme="1"/>
        <rFont val="Aptos Narrow"/>
        <scheme val="minor"/>
      </rPr>
      <t xml:space="preserve">
</t>
    </r>
    <r>
      <rPr>
        <b/>
        <sz val="11"/>
        <color rgb="FF0070C0"/>
        <rFont val="Aptos Narrow (Body)"/>
      </rPr>
      <t>"Prevalence"</t>
    </r>
    <r>
      <rPr>
        <b/>
        <sz val="11"/>
        <color theme="1"/>
        <rFont val="Aptos Narrow"/>
        <scheme val="minor"/>
      </rPr>
      <t>: Number of infected survivors / total number of (uninfected+infected) survivors. (</t>
    </r>
    <r>
      <rPr>
        <sz val="11"/>
        <color theme="1"/>
        <rFont val="Aptos Narrow"/>
        <family val="2"/>
        <scheme val="minor"/>
      </rPr>
      <t>1</t>
    </r>
    <r>
      <rPr>
        <b/>
        <sz val="11"/>
        <color theme="1"/>
        <rFont val="Aptos Narrow"/>
        <scheme val="minor"/>
      </rPr>
      <t>)</t>
    </r>
    <r>
      <rPr>
        <sz val="11"/>
        <color theme="1"/>
        <rFont val="Aptos Narrow"/>
        <family val="2"/>
        <scheme val="minor"/>
      </rPr>
      <t xml:space="preserve"> This excludes dead individuals </t>
    </r>
    <r>
      <rPr>
        <b/>
        <sz val="11"/>
        <color theme="1"/>
        <rFont val="Aptos Narrow"/>
        <scheme val="minor"/>
      </rPr>
      <t>(</t>
    </r>
    <r>
      <rPr>
        <sz val="11"/>
        <color theme="1"/>
        <rFont val="Aptos Narrow"/>
        <family val="2"/>
        <scheme val="minor"/>
      </rPr>
      <t>2</t>
    </r>
    <r>
      <rPr>
        <b/>
        <sz val="11"/>
        <color theme="1"/>
        <rFont val="Aptos Narrow"/>
        <scheme val="minor"/>
      </rPr>
      <t>)</t>
    </r>
    <r>
      <rPr>
        <sz val="11"/>
        <color theme="1"/>
        <rFont val="Aptos Narrow"/>
        <family val="2"/>
        <scheme val="minor"/>
      </rPr>
      <t xml:space="preserve"> If the authors did not specify whether dead individuals were included in infection prevalence, assume it only refers to survivors, and note this in the "Data_inclusiveness_flag" column (i.e., = Maybe) </t>
    </r>
    <r>
      <rPr>
        <b/>
        <sz val="11"/>
        <color theme="1"/>
        <rFont val="Aptos Narrow"/>
        <scheme val="minor"/>
      </rPr>
      <t xml:space="preserve">
</t>
    </r>
    <r>
      <rPr>
        <b/>
        <sz val="11"/>
        <color rgb="FF0070C0"/>
        <rFont val="Aptos Narrow (Body)"/>
      </rPr>
      <t>"Intensity":</t>
    </r>
    <r>
      <rPr>
        <sz val="11"/>
        <color theme="1"/>
        <rFont val="Aptos Narrow"/>
        <family val="2"/>
        <scheme val="minor"/>
      </rPr>
      <t xml:space="preserve"> </t>
    </r>
    <r>
      <rPr>
        <b/>
        <sz val="11"/>
        <color theme="1"/>
        <rFont val="Aptos Narrow"/>
        <scheme val="minor"/>
      </rPr>
      <t>Zoospore count or genetic equivalents in Bd-infected survivors</t>
    </r>
    <r>
      <rPr>
        <sz val="11"/>
        <color theme="1"/>
        <rFont val="Aptos Narrow"/>
        <family val="2"/>
        <scheme val="minor"/>
      </rPr>
      <t xml:space="preserve">. </t>
    </r>
    <r>
      <rPr>
        <b/>
        <sz val="11"/>
        <color theme="1"/>
        <rFont val="Aptos Narrow"/>
        <scheme val="minor"/>
      </rPr>
      <t>(</t>
    </r>
    <r>
      <rPr>
        <sz val="11"/>
        <color theme="1"/>
        <rFont val="Aptos Narrow"/>
        <family val="2"/>
        <scheme val="minor"/>
      </rPr>
      <t>1</t>
    </r>
    <r>
      <rPr>
        <b/>
        <sz val="11"/>
        <color theme="1"/>
        <rFont val="Aptos Narrow"/>
        <scheme val="minor"/>
      </rPr>
      <t>)</t>
    </r>
    <r>
      <rPr>
        <sz val="11"/>
        <color theme="1"/>
        <rFont val="Aptos Narrow"/>
        <family val="2"/>
        <scheme val="minor"/>
      </rPr>
      <t xml:space="preserve"> This excludes uninfected survivors and dead individuals. </t>
    </r>
    <r>
      <rPr>
        <b/>
        <sz val="11"/>
        <color theme="1"/>
        <rFont val="Aptos Narrow"/>
        <scheme val="minor"/>
      </rPr>
      <t>(</t>
    </r>
    <r>
      <rPr>
        <sz val="11"/>
        <color theme="1"/>
        <rFont val="Aptos Narrow"/>
        <family val="2"/>
        <scheme val="minor"/>
      </rPr>
      <t>2</t>
    </r>
    <r>
      <rPr>
        <b/>
        <sz val="11"/>
        <color theme="1"/>
        <rFont val="Aptos Narrow"/>
        <scheme val="minor"/>
      </rPr>
      <t>)</t>
    </r>
    <r>
      <rPr>
        <sz val="11"/>
        <color theme="1"/>
        <rFont val="Aptos Narrow"/>
        <family val="2"/>
        <scheme val="minor"/>
      </rPr>
      <t xml:space="preserve"> If the authors did not specify whether uninfected individuals were excluded, assume the values were calculated using infected survivors only, and note this in the "Data_inclusiveness_flag" column (i.e., = Maybe). </t>
    </r>
    <r>
      <rPr>
        <b/>
        <sz val="11"/>
        <color theme="1"/>
        <rFont val="Aptos Narrow"/>
        <scheme val="minor"/>
      </rPr>
      <t>(</t>
    </r>
    <r>
      <rPr>
        <sz val="11"/>
        <color theme="1"/>
        <rFont val="Aptos Narrow"/>
        <family val="2"/>
        <scheme val="minor"/>
      </rPr>
      <t>3</t>
    </r>
    <r>
      <rPr>
        <b/>
        <sz val="11"/>
        <color theme="1"/>
        <rFont val="Aptos Narrow"/>
        <scheme val="minor"/>
      </rPr>
      <t>)</t>
    </r>
    <r>
      <rPr>
        <sz val="11"/>
        <color theme="1"/>
        <rFont val="Aptos Narrow"/>
        <family val="2"/>
        <scheme val="minor"/>
      </rPr>
      <t xml:space="preserve"> Specify whether the values are raw or log-transformed in the "trait_unit" column.
When multiple measures of the same trait are reported </t>
    </r>
    <r>
      <rPr>
        <b/>
        <sz val="11"/>
        <color theme="1"/>
        <rFont val="Aptos Narrow"/>
        <scheme val="minor"/>
      </rPr>
      <t>(</t>
    </r>
    <r>
      <rPr>
        <sz val="11"/>
        <color theme="1"/>
        <rFont val="Aptos Narrow"/>
        <family val="2"/>
        <scheme val="minor"/>
      </rPr>
      <t>e.g., peak Bd loads, mean Bd loads</t>
    </r>
    <r>
      <rPr>
        <b/>
        <sz val="11"/>
        <color theme="1"/>
        <rFont val="Aptos Narrow"/>
        <scheme val="minor"/>
      </rPr>
      <t>)</t>
    </r>
    <r>
      <rPr>
        <sz val="11"/>
        <color theme="1"/>
        <rFont val="Aptos Narrow"/>
        <family val="2"/>
        <scheme val="minor"/>
      </rPr>
      <t xml:space="preserve">, only report ONE measure using the following preference order: </t>
    </r>
    <r>
      <rPr>
        <b/>
        <sz val="11"/>
        <color theme="1"/>
        <rFont val="Aptos Narrow"/>
        <scheme val="minor"/>
      </rPr>
      <t>peak values &gt; mean values &gt; other reported values</t>
    </r>
    <r>
      <rPr>
        <sz val="11"/>
        <color theme="1"/>
        <rFont val="Aptos Narrow"/>
        <family val="2"/>
        <scheme val="minor"/>
      </rPr>
      <t>. We prefer peak values because they indicate the most severe outcomes caused by the pathogen. For the peak value =&gt; (1) We choose the highest values across all time points with various sample size. If there are infection rate = 90% (n = 100) at week 1 versus infection rate = 100% (n = 10) at week 10 . We reported 100% with n = 10 at week 10 because it has the highest prevalence. NOTE: the reduced sample size (e.g. 90 missing individuals) was likely to be capatured in the mortality data (because they died), so we will know why the sample size dropped so much for prevalence data. (2) When the same value is sourced from different numbers of animals (e.g., 100% infection rate from n = 1 at W1 and 100% from n = 10 at W2), we use the time point with more animals, as this represents a greater measurement effort. (3)  When the same value with the same sample size is reported at different time points, we use the earliest time point at which the peak was reached.</t>
    </r>
  </si>
  <si>
    <r>
      <t>For the "</t>
    </r>
    <r>
      <rPr>
        <b/>
        <sz val="11"/>
        <color theme="1"/>
        <rFont val="Aptos Narrow"/>
        <scheme val="minor"/>
      </rPr>
      <t>live_pathogen</t>
    </r>
    <r>
      <rPr>
        <sz val="11"/>
        <color theme="1"/>
        <rFont val="Aptos Narrow"/>
        <scheme val="minor"/>
      </rPr>
      <t>" treatment, enter the approach used to clear the infection: "</t>
    </r>
    <r>
      <rPr>
        <b/>
        <sz val="11"/>
        <color theme="1"/>
        <rFont val="Aptos Narrow"/>
        <scheme val="minor"/>
      </rPr>
      <t>heat_clear</t>
    </r>
    <r>
      <rPr>
        <sz val="11"/>
        <color theme="1"/>
        <rFont val="Aptos Narrow"/>
        <scheme val="minor"/>
      </rPr>
      <t>", "</t>
    </r>
    <r>
      <rPr>
        <b/>
        <sz val="11"/>
        <color theme="1"/>
        <rFont val="Aptos Narrow"/>
        <scheme val="minor"/>
      </rPr>
      <t>chemical_clear</t>
    </r>
    <r>
      <rPr>
        <sz val="11"/>
        <color theme="1"/>
        <rFont val="Aptos Narrow"/>
        <scheme val="minor"/>
      </rPr>
      <t>", or "</t>
    </r>
    <r>
      <rPr>
        <b/>
        <sz val="11"/>
        <color theme="1"/>
        <rFont val="Aptos Narrow"/>
        <scheme val="minor"/>
      </rPr>
      <t>none</t>
    </r>
    <r>
      <rPr>
        <sz val="11"/>
        <color theme="1"/>
        <rFont val="Aptos Narrow"/>
        <scheme val="minor"/>
      </rPr>
      <t>".
Experiments classified as "</t>
    </r>
    <r>
      <rPr>
        <b/>
        <sz val="11"/>
        <color theme="1"/>
        <rFont val="Aptos Narrow"/>
        <scheme val="minor"/>
      </rPr>
      <t>none</t>
    </r>
    <r>
      <rPr>
        <sz val="11"/>
        <color theme="1"/>
        <rFont val="Aptos Narrow"/>
        <scheme val="minor"/>
      </rPr>
      <t>" either (a) allowed infected animals to self-cure without any additional clearance procedure or (b) exposed animals to low-virulence pathogen strains so that they remained uninfected after exposure.
Enter "NA" for other treatment type</t>
    </r>
  </si>
  <si>
    <t>Factor (4 levels): "same", "different", "unclear", "NA"</t>
  </si>
  <si>
    <r>
      <t>If the treatment is classified as "</t>
    </r>
    <r>
      <rPr>
        <b/>
        <sz val="11"/>
        <color theme="1"/>
        <rFont val="Aptos Narrow"/>
        <scheme val="minor"/>
      </rPr>
      <t>live_pathogen</t>
    </r>
    <r>
      <rPr>
        <sz val="11"/>
        <color theme="1"/>
        <rFont val="Aptos Narrow"/>
        <scheme val="minor"/>
      </rPr>
      <t>", "</t>
    </r>
    <r>
      <rPr>
        <b/>
        <sz val="11"/>
        <color theme="1"/>
        <rFont val="Aptos Narrow"/>
        <scheme val="minor"/>
      </rPr>
      <t>dead_pathogen</t>
    </r>
    <r>
      <rPr>
        <sz val="11"/>
        <color theme="1"/>
        <rFont val="Aptos Narrow"/>
        <scheme val="minor"/>
      </rPr>
      <t>", or "</t>
    </r>
    <r>
      <rPr>
        <b/>
        <sz val="11"/>
        <color theme="1"/>
        <rFont val="Aptos Narrow"/>
        <scheme val="minor"/>
      </rPr>
      <t>natural_chem</t>
    </r>
    <r>
      <rPr>
        <sz val="11"/>
        <color theme="1"/>
        <rFont val="Aptos Narrow"/>
        <scheme val="minor"/>
      </rPr>
      <t>" produced by the pathogen, enter "</t>
    </r>
    <r>
      <rPr>
        <b/>
        <sz val="11"/>
        <color theme="1"/>
        <rFont val="Aptos Narrow"/>
        <scheme val="minor"/>
      </rPr>
      <t>same</t>
    </r>
    <r>
      <rPr>
        <sz val="11"/>
        <color theme="1"/>
        <rFont val="Aptos Narrow"/>
        <scheme val="minor"/>
      </rPr>
      <t>", "</t>
    </r>
    <r>
      <rPr>
        <b/>
        <sz val="11"/>
        <color theme="1"/>
        <rFont val="Aptos Narrow"/>
        <scheme val="minor"/>
      </rPr>
      <t>different</t>
    </r>
    <r>
      <rPr>
        <sz val="11"/>
        <color theme="1"/>
        <rFont val="Aptos Narrow"/>
        <scheme val="minor"/>
      </rPr>
      <t>", or "</t>
    </r>
    <r>
      <rPr>
        <b/>
        <sz val="11"/>
        <color theme="1"/>
        <rFont val="Aptos Narrow"/>
        <scheme val="minor"/>
      </rPr>
      <t>unclear</t>
    </r>
    <r>
      <rPr>
        <sz val="11"/>
        <color theme="1"/>
        <rFont val="Aptos Narrow"/>
        <scheme val="minor"/>
      </rPr>
      <t>" to indicate whether the Bd strain used in the treatment (see column "treat_pathogen") matched the strain used in the subsequent pathogen exposure (see column "post_pathogen_strain"). For other treatment type, enter "NA"</t>
    </r>
  </si>
  <si>
    <r>
      <t>If the treatment is classified as “</t>
    </r>
    <r>
      <rPr>
        <b/>
        <sz val="11"/>
        <color theme="1"/>
        <rFont val="Aptos Narrow"/>
        <scheme val="minor"/>
      </rPr>
      <t>iive_pathogen</t>
    </r>
    <r>
      <rPr>
        <sz val="11"/>
        <color theme="1"/>
        <rFont val="Aptos Narrow"/>
        <scheme val="minor"/>
      </rPr>
      <t>”, “</t>
    </r>
    <r>
      <rPr>
        <b/>
        <sz val="11"/>
        <color theme="1"/>
        <rFont val="Aptos Narrow"/>
        <scheme val="minor"/>
      </rPr>
      <t>dead_pathogen</t>
    </r>
    <r>
      <rPr>
        <sz val="11"/>
        <color theme="1"/>
        <rFont val="Aptos Narrow"/>
        <scheme val="minor"/>
      </rPr>
      <t>”, or “</t>
    </r>
    <r>
      <rPr>
        <b/>
        <sz val="11"/>
        <color theme="1"/>
        <rFont val="Aptos Narrow"/>
        <scheme val="minor"/>
      </rPr>
      <t>natural_chem" produce by pathogen</t>
    </r>
    <r>
      <rPr>
        <sz val="11"/>
        <color theme="1"/>
        <rFont val="Aptos Narrow"/>
        <scheme val="minor"/>
      </rPr>
      <t xml:space="preserve">, specify the </t>
    </r>
    <r>
      <rPr>
        <b/>
        <sz val="11"/>
        <color theme="1"/>
        <rFont val="Aptos Narrow"/>
        <scheme val="minor"/>
      </rPr>
      <t>lineage</t>
    </r>
    <r>
      <rPr>
        <sz val="11"/>
        <color theme="1"/>
        <rFont val="Aptos Narrow"/>
        <scheme val="minor"/>
      </rPr>
      <t xml:space="preserve"> (e.g. Bd-GPL, Bd-CAPE, Bd-ASIA-1, or Bd-ASIA-2/Bd-Brazil) and/or </t>
    </r>
    <r>
      <rPr>
        <b/>
        <sz val="11"/>
        <color theme="1"/>
        <rFont val="Aptos Narrow"/>
        <scheme val="minor"/>
      </rPr>
      <t>strain</t>
    </r>
    <r>
      <rPr>
        <sz val="11"/>
        <color theme="1"/>
        <rFont val="Aptos Narrow"/>
        <scheme val="minor"/>
      </rPr>
      <t xml:space="preserve"> used. Enter "unclear" if it was not reported. Otherwise, enter “NA”.</t>
    </r>
  </si>
  <si>
    <r>
      <t>Type of intervention aimed at enhancing resistance or tolerance against chytridiomycosis. 
"</t>
    </r>
    <r>
      <rPr>
        <b/>
        <sz val="11"/>
        <color theme="1"/>
        <rFont val="Aptos Narrow"/>
        <scheme val="minor"/>
      </rPr>
      <t>live_pathogen</t>
    </r>
    <r>
      <rPr>
        <sz val="11"/>
        <color theme="1"/>
        <rFont val="Aptos Narrow"/>
        <scheme val="minor"/>
      </rPr>
      <t>": Individuals are exposed to live pathogens, either followed by a clearance (through heat / antifungals /self-cure) or not (if the pathogen does not result in clincial signs or infection)
"</t>
    </r>
    <r>
      <rPr>
        <b/>
        <sz val="11"/>
        <color theme="1"/>
        <rFont val="Aptos Narrow"/>
        <scheme val="minor"/>
      </rPr>
      <t>dead_pathogen</t>
    </r>
    <r>
      <rPr>
        <sz val="11"/>
        <color theme="1"/>
        <rFont val="Aptos Narrow"/>
        <scheme val="minor"/>
      </rPr>
      <t xml:space="preserve">":  Individuals are exposed to heat-killed or otherwise inactivated Bd. 
</t>
    </r>
    <r>
      <rPr>
        <sz val="11"/>
        <color theme="1"/>
        <rFont val="Aptos Narrow (Body)"/>
      </rPr>
      <t>"</t>
    </r>
    <r>
      <rPr>
        <b/>
        <sz val="11"/>
        <color theme="1"/>
        <rFont val="Aptos Narrow (Body)"/>
      </rPr>
      <t>Natural_chem</t>
    </r>
    <r>
      <rPr>
        <sz val="11"/>
        <color theme="1"/>
        <rFont val="Aptos Narrow (Body)"/>
      </rPr>
      <t>": Individuals are exposed to natural chemicals produced by Bd or by anti-Bd microbiota. 
"</t>
    </r>
    <r>
      <rPr>
        <b/>
        <sz val="11"/>
        <color theme="1"/>
        <rFont val="Aptos Narrow (Body)"/>
      </rPr>
      <t>Synthetic_antiparastics</t>
    </r>
    <r>
      <rPr>
        <sz val="11"/>
        <color theme="1"/>
        <rFont val="Aptos Narrow (Body)"/>
      </rPr>
      <t xml:space="preserve">": Bd-naïve individuals are treated with synthetic antifungals or antiparasitic agents
</t>
    </r>
    <r>
      <rPr>
        <sz val="11"/>
        <color theme="1"/>
        <rFont val="Aptos Narrow"/>
        <scheme val="minor"/>
      </rPr>
      <t>"</t>
    </r>
    <r>
      <rPr>
        <b/>
        <sz val="11"/>
        <color theme="1"/>
        <rFont val="Aptos Narrow"/>
        <scheme val="minor"/>
      </rPr>
      <t>Probiotic</t>
    </r>
    <r>
      <rPr>
        <sz val="11"/>
        <color theme="1"/>
        <rFont val="Aptos Narrow"/>
        <scheme val="minor"/>
      </rPr>
      <t>": Individuals are exposed to or augmented with anti-Bd microbes (bacteria or fungi), 
"</t>
    </r>
    <r>
      <rPr>
        <b/>
        <sz val="11"/>
        <color theme="1"/>
        <rFont val="Aptos Narrow"/>
        <scheme val="minor"/>
      </rPr>
      <t>Other</t>
    </r>
    <r>
      <rPr>
        <sz val="11"/>
        <color theme="1"/>
        <rFont val="Aptos Narrow"/>
        <scheme val="minor"/>
      </rPr>
      <t>": Please specify an unlisted resistance-enhancing treatment in the "treat_details".</t>
    </r>
  </si>
  <si>
    <t>Day difference between the treatment and the post-treatment Bd exposure. Enter "0" if Bd exposure occurred immediately after treatment.  Enter 'unclear' if not specified</t>
  </si>
  <si>
    <t>Number of passages from the time the strain was isolated to the time of the experiment. Enter 'unclear' if not specified</t>
  </si>
  <si>
    <t>Factor (3 levels) "high", "low", "unclear"</t>
  </si>
  <si>
    <t>Whether the authors considered the pathogen strains to be hypo- or hyper-virulent. Enter 'unclear' if not specified</t>
  </si>
  <si>
    <t>Name of pathogen lineage (e.g. Bd-GPL, Bd-CAPE, Bd-ASIA-1, or Bd-ASIA-2/Bd-Brazil).  Enter 'unclear' if not specified.</t>
  </si>
  <si>
    <t>Name of pathogen strain used for post-treatment pathogen exposure. Enter 'unclear' if not specified.</t>
  </si>
  <si>
    <t>Location where the post-treatment Bd (or Bsal) exposure was conducted</t>
  </si>
  <si>
    <t>Larva</t>
  </si>
  <si>
    <t>Number of clutches used for this group (T = treatment; C = control). We refer to the number of clutch used in each treatment group, which may vary between treatments if author(s) used independent clutches  experimental design (see "split_clutch"). Enter "unclear" if it was not reported.</t>
  </si>
  <si>
    <t>Canberra,  Australia</t>
  </si>
  <si>
    <t>Factor (2 levels) "Bd", "Bsal"</t>
  </si>
  <si>
    <t>Whether the experiment is on "Bd" or "Bsal"</t>
  </si>
  <si>
    <t xml:space="preserve">DOI of the study </t>
  </si>
  <si>
    <t xml:space="preserve">Name of the PDF file. </t>
  </si>
  <si>
    <t>water</t>
  </si>
  <si>
    <t>medium</t>
  </si>
  <si>
    <t>Included uninfected individuals</t>
  </si>
  <si>
    <t>Robak_2016_PhD_thesis -&gt; Table 2.3a (same as Fig 1B in the paper)</t>
  </si>
  <si>
    <t xml:space="preserve">This included uninfected animals (Bd load = 0) </t>
  </si>
  <si>
    <t>(1) Treatment frogs were immunised either once or twice (see Supplementary Table 1), but both immunised groups were pool in the raw data (Source_Data_Fig3). (2) I considered control = "naïve" and treatment "prior-exposure" in (Source_Data_Fig3). I am not sure what is treatment = "previous infection" and exclude any data from this group.
(2) The immunised frogs came from the lab experiment and underwent either one infection-clearance (Infected with Bd for 2 weeks at 19 °C, then cleared after 15 days at Tsel) or two rounds of infection-clearance (Infected with Bd for 6 weeks, cleared with heat, reinfected for 15 weeks, and then cleared again with heat) -&gt; the method mention that all frogs were acclimated at 19C for two weeks prior to release, so I consider "time_interval" = 14 days</t>
  </si>
  <si>
    <t>(1) Treatment frogs were immunised either once or twice (see Supplementary Table 1), but both immunised groups were pool in the raw data (Source_Data_Fig3). (2) I considered control = "naïve" and treatment "prior-exposure" in (Source_Data_Fig3). I am not sure what is treatment = "previous infection" and exclude any data from this group
(2) The immunised frogs came from the lab experiment and underwent either one infection-clearance (Infected with Bd for 2 weeks at 19 °C, then cleared after 15 days at Tsel) or two rounds of infection-clearance (Infected with Bd for 6 weeks, cleared with heat, reinfected for 15 weeks, and then cleared again with heat) -&gt; the method mention that all frogs were acclimated at 19C for two weeks prior to release, so I consider "time_interval" = 14 days</t>
  </si>
  <si>
    <t>pathogen_lineage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</si>
</sst>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24"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b/>
      <sz val="12"/>
      <color theme="1"/>
      <name val="Aptos Narrow"/>
      <family val="2"/>
      <scheme val="minor"/>
    </font>
    <font>
      <u/>
      <sz val="11"/>
      <color theme="10"/>
      <name val="Aptos Narrow"/>
      <family val="2"/>
      <scheme val="minor"/>
    </font>
    <font>
      <sz val="11"/>
      <color theme="1"/>
      <name val="Aptos Narrow"/>
      <scheme val="minor"/>
    </font>
    <font>
      <b/>
      <sz val="12"/>
      <color theme="1"/>
      <name val="Aptos Narrow"/>
      <scheme val="minor"/>
    </font>
    <font>
      <b/>
      <sz val="11"/>
      <color theme="1"/>
      <name val="Aptos Narrow"/>
      <scheme val="minor"/>
    </font>
    <font>
      <sz val="12"/>
      <color rgb="FF000000"/>
      <name val="Tahoma"/>
      <family val="2"/>
    </font>
    <font>
      <sz val="12"/>
      <color rgb="FF000000"/>
      <name val="Aptos Narrow"/>
    </font>
    <font>
      <b/>
      <sz val="12"/>
      <color rgb="FF000000"/>
      <name val="Aptos Narrow"/>
    </font>
    <font>
      <b/>
      <sz val="11"/>
      <color rgb="FF0070C0"/>
      <name val="Aptos Narrow (Body)"/>
    </font>
    <font>
      <b/>
      <sz val="10"/>
      <color rgb="FF000000"/>
      <name val="Tahoma"/>
      <family val="2"/>
    </font>
    <font>
      <sz val="11"/>
      <color theme="1"/>
      <name val="Aptos Narrow (Body)"/>
    </font>
    <font>
      <b/>
      <sz val="11"/>
      <color theme="1"/>
      <name val="Aptos Narrow (Body)"/>
    </font>
    <font>
      <sz val="8"/>
      <name val="Aptos Narrow"/>
      <family val="2"/>
      <scheme val="minor"/>
    </font>
    <font>
      <b/>
      <sz val="15"/>
      <color theme="1"/>
      <name val="Aptos Display"/>
      <scheme val="major"/>
    </font>
    <font>
      <sz val="15"/>
      <color theme="1"/>
      <name val="Aptos Display"/>
      <scheme val="major"/>
    </font>
    <font>
      <sz val="15"/>
      <color theme="1"/>
      <name val="Aptos Narrow"/>
      <family val="2"/>
      <scheme val="minor"/>
    </font>
    <font>
      <sz val="11"/>
      <color theme="1"/>
      <name val="Lucida Grande"/>
      <family val="2"/>
    </font>
    <font>
      <sz val="15"/>
      <color theme="1"/>
      <name val="Aptos Display"/>
      <charset val="1"/>
    </font>
  </fonts>
  <fills count="8">
    <fill>
      <patternFill patternType="none"/>
    </fill>
    <fill>
      <patternFill patternType="gray125"/>
    </fill>
    <fill>
      <patternFill patternType="solid">
        <fgColor theme="9"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s>
  <borders count="5">
    <border>
      <left/>
      <right/>
      <top/>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7" fillId="0" borderId="0" applyNumberFormat="0" applyFill="0" applyBorder="0" applyAlignment="0" applyProtection="0"/>
    <xf numFmtId="0" fontId="5" fillId="0" borderId="0"/>
    <xf numFmtId="0" fontId="4" fillId="0" borderId="0"/>
    <xf numFmtId="0" fontId="3" fillId="0" borderId="0"/>
    <xf numFmtId="0" fontId="3" fillId="0" borderId="0"/>
    <xf numFmtId="0" fontId="2" fillId="0" borderId="0"/>
  </cellStyleXfs>
  <cellXfs count="46">
    <xf numFmtId="0" fontId="0" fillId="0" borderId="0" xfId="0"/>
    <xf numFmtId="0" fontId="0" fillId="3" borderId="4" xfId="0" applyFill="1" applyBorder="1"/>
    <xf numFmtId="0" fontId="0" fillId="0" borderId="4" xfId="0" applyBorder="1"/>
    <xf numFmtId="0" fontId="8" fillId="0" borderId="4" xfId="0" applyFont="1" applyBorder="1"/>
    <xf numFmtId="0" fontId="9" fillId="3" borderId="4" xfId="0" applyFont="1" applyFill="1" applyBorder="1" applyAlignment="1">
      <alignment horizontal="center" vertical="center"/>
    </xf>
    <xf numFmtId="0" fontId="6" fillId="3" borderId="4" xfId="0" applyFont="1" applyFill="1" applyBorder="1" applyAlignment="1">
      <alignment horizontal="center" vertical="center" wrapText="1"/>
    </xf>
    <xf numFmtId="0" fontId="6" fillId="3" borderId="4" xfId="0" applyFont="1" applyFill="1" applyBorder="1" applyAlignment="1">
      <alignment horizontal="center" vertical="center"/>
    </xf>
    <xf numFmtId="0" fontId="9" fillId="3" borderId="4" xfId="0" applyFont="1" applyFill="1" applyBorder="1" applyAlignment="1">
      <alignment horizontal="left" vertical="center"/>
    </xf>
    <xf numFmtId="0" fontId="0" fillId="0" borderId="4" xfId="0" applyBorder="1" applyAlignment="1">
      <alignment wrapText="1"/>
    </xf>
    <xf numFmtId="0" fontId="8" fillId="0" borderId="4" xfId="0" applyFont="1" applyBorder="1" applyAlignment="1">
      <alignment wrapText="1"/>
    </xf>
    <xf numFmtId="0" fontId="9" fillId="2" borderId="4" xfId="0" applyFont="1" applyFill="1" applyBorder="1" applyAlignment="1">
      <alignment horizontal="center" vertical="center" wrapText="1"/>
    </xf>
    <xf numFmtId="0" fontId="9" fillId="2" borderId="4" xfId="0" applyFont="1" applyFill="1" applyBorder="1" applyAlignment="1">
      <alignment horizontal="center" vertical="center"/>
    </xf>
    <xf numFmtId="0" fontId="8" fillId="0" borderId="4" xfId="0" applyFont="1" applyBorder="1" applyAlignment="1">
      <alignment horizontal="left"/>
    </xf>
    <xf numFmtId="0" fontId="9" fillId="4" borderId="4" xfId="0" applyFont="1" applyFill="1" applyBorder="1" applyAlignment="1">
      <alignment horizontal="center" vertical="center"/>
    </xf>
    <xf numFmtId="0" fontId="19" fillId="2" borderId="1" xfId="0" applyFont="1" applyFill="1" applyBorder="1" applyAlignment="1">
      <alignment horizontal="center" vertical="center"/>
    </xf>
    <xf numFmtId="0" fontId="19" fillId="2" borderId="2" xfId="0" applyFont="1" applyFill="1" applyBorder="1" applyAlignment="1">
      <alignment horizontal="center" vertical="center"/>
    </xf>
    <xf numFmtId="0" fontId="19" fillId="7" borderId="2" xfId="0" applyFont="1" applyFill="1" applyBorder="1" applyAlignment="1">
      <alignment horizontal="center" vertical="center"/>
    </xf>
    <xf numFmtId="0" fontId="19" fillId="5" borderId="3" xfId="0" applyFont="1" applyFill="1" applyBorder="1" applyAlignment="1">
      <alignment horizontal="center" vertical="center"/>
    </xf>
    <xf numFmtId="0" fontId="19" fillId="4" borderId="1" xfId="0" applyFont="1" applyFill="1" applyBorder="1" applyAlignment="1">
      <alignment horizontal="center" vertical="center"/>
    </xf>
    <xf numFmtId="0" fontId="19" fillId="4" borderId="3" xfId="0" applyFont="1" applyFill="1" applyBorder="1" applyAlignment="1">
      <alignment horizontal="center" vertical="center"/>
    </xf>
    <xf numFmtId="0" fontId="19" fillId="2" borderId="3" xfId="0" applyFont="1" applyFill="1" applyBorder="1" applyAlignment="1">
      <alignment horizontal="center" vertical="center"/>
    </xf>
    <xf numFmtId="0" fontId="19" fillId="6" borderId="3" xfId="0" applyFont="1" applyFill="1" applyBorder="1" applyAlignment="1">
      <alignment horizontal="center" vertical="center"/>
    </xf>
    <xf numFmtId="0" fontId="20" fillId="0" borderId="0" xfId="0" applyFont="1"/>
    <xf numFmtId="0" fontId="19" fillId="0" borderId="0" xfId="0" applyFont="1"/>
    <xf numFmtId="1" fontId="20" fillId="0" borderId="0" xfId="0" applyNumberFormat="1" applyFont="1"/>
    <xf numFmtId="14" fontId="20" fillId="0" borderId="0" xfId="0" applyNumberFormat="1" applyFont="1"/>
    <xf numFmtId="0" fontId="19" fillId="4" borderId="2" xfId="0" applyFont="1" applyFill="1" applyBorder="1" applyAlignment="1">
      <alignment horizontal="center" vertical="center"/>
    </xf>
    <xf numFmtId="0" fontId="19" fillId="5" borderId="2" xfId="0" applyFont="1" applyFill="1" applyBorder="1" applyAlignment="1">
      <alignment horizontal="center" vertical="center"/>
    </xf>
    <xf numFmtId="0" fontId="19" fillId="6" borderId="2" xfId="0" applyFont="1" applyFill="1" applyBorder="1" applyAlignment="1">
      <alignment horizontal="center" vertical="center"/>
    </xf>
    <xf numFmtId="0" fontId="19" fillId="6" borderId="1" xfId="0" applyFont="1" applyFill="1" applyBorder="1" applyAlignment="1">
      <alignment horizontal="center" vertical="center"/>
    </xf>
    <xf numFmtId="0" fontId="20" fillId="0" borderId="0" xfId="0" applyFont="1" applyAlignment="1">
      <alignment horizontal="center"/>
    </xf>
    <xf numFmtId="0" fontId="20" fillId="0" borderId="0" xfId="6" applyFont="1"/>
    <xf numFmtId="0" fontId="9" fillId="4" borderId="4" xfId="0" applyFont="1" applyFill="1" applyBorder="1" applyAlignment="1">
      <alignment horizontal="center" vertical="center" wrapText="1"/>
    </xf>
    <xf numFmtId="0" fontId="8" fillId="0" borderId="4" xfId="1" applyFont="1" applyBorder="1" applyAlignment="1">
      <alignment horizontal="left"/>
    </xf>
    <xf numFmtId="1" fontId="22" fillId="0" borderId="0" xfId="0" applyNumberFormat="1" applyFont="1"/>
    <xf numFmtId="0" fontId="20" fillId="0" borderId="0" xfId="0" applyFont="1" applyAlignment="1">
      <alignment wrapText="1"/>
    </xf>
    <xf numFmtId="0" fontId="21" fillId="0" borderId="0" xfId="0" applyFont="1"/>
    <xf numFmtId="0" fontId="20" fillId="0" borderId="0" xfId="0" applyFont="1" applyAlignment="1">
      <alignment horizontal="center" wrapText="1"/>
    </xf>
    <xf numFmtId="1" fontId="21" fillId="0" borderId="0" xfId="0" applyNumberFormat="1" applyFont="1"/>
    <xf numFmtId="0" fontId="1" fillId="0" borderId="0" xfId="0" applyFont="1"/>
    <xf numFmtId="164" fontId="20" fillId="0" borderId="0" xfId="0" applyNumberFormat="1" applyFont="1"/>
    <xf numFmtId="0" fontId="20" fillId="0" borderId="0" xfId="0" applyFont="1" applyAlignment="1">
      <alignment horizontal="left"/>
    </xf>
    <xf numFmtId="0" fontId="20" fillId="0" borderId="0" xfId="0" applyFont="1" applyAlignment="1">
      <alignment horizontal="right"/>
    </xf>
    <xf numFmtId="0" fontId="22" fillId="0" borderId="0" xfId="0" applyFont="1"/>
    <xf numFmtId="165" fontId="20" fillId="0" borderId="0" xfId="0" applyNumberFormat="1" applyFont="1"/>
    <xf numFmtId="0" fontId="23" fillId="0" borderId="0" xfId="0" applyFont="1"/>
  </cellXfs>
  <cellStyles count="7">
    <cellStyle name="Hyperlink" xfId="1" builtinId="8"/>
    <cellStyle name="Normal" xfId="0" builtinId="0"/>
    <cellStyle name="Normal 2" xfId="2" xr:uid="{37200B43-87A6-3146-AB5C-33284347F4C7}"/>
    <cellStyle name="Normal 2 2" xfId="3" xr:uid="{29A79B2B-1556-0D45-9453-3D05AD6CF0CB}"/>
    <cellStyle name="Normal 2 2 2" xfId="5" xr:uid="{CF2863BE-CF74-0441-BFDD-3B86486951FB}"/>
    <cellStyle name="Normal 2 3" xfId="4" xr:uid="{97675359-45E7-6645-A87E-F6A1A1ED6182}"/>
    <cellStyle name="Normal 2 3 2" xfId="6" xr:uid="{F8247602-5D32-AB43-882F-B62B6A19BD66}"/>
  </cellStyles>
  <dxfs count="0"/>
  <tableStyles count="0" defaultTableStyle="TableStyleMedium2" defaultPivotStyle="PivotStyleLight16"/>
  <colors>
    <mruColors>
      <color rgb="FFD3FEA4"/>
      <color rgb="FFF8E4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E61AB-CC13-EA44-A585-24D016F3157E}">
  <dimension ref="A1:F47"/>
  <sheetViews>
    <sheetView topLeftCell="A33" zoomScaleNormal="165" workbookViewId="0">
      <selection activeCell="C6" sqref="C6"/>
    </sheetView>
  </sheetViews>
  <sheetFormatPr baseColWidth="10" defaultColWidth="8.83203125" defaultRowHeight="15" x14ac:dyDescent="0.2"/>
  <cols>
    <col min="1" max="1" width="22.1640625" style="2" customWidth="1"/>
    <col min="2" max="2" width="32" style="3" customWidth="1"/>
    <col min="3" max="3" width="48.83203125" style="8" customWidth="1"/>
    <col min="4" max="4" width="42.1640625" style="2" customWidth="1"/>
    <col min="5" max="5" width="17.5" style="2" customWidth="1"/>
    <col min="6" max="6" width="116.5" style="12" bestFit="1" customWidth="1"/>
    <col min="7" max="16384" width="8.83203125" style="2"/>
  </cols>
  <sheetData>
    <row r="1" spans="1:6" s="1" customFormat="1" ht="17" x14ac:dyDescent="0.2">
      <c r="A1" s="1" t="s">
        <v>55</v>
      </c>
      <c r="B1" s="4" t="s">
        <v>0</v>
      </c>
      <c r="C1" s="5" t="s">
        <v>1</v>
      </c>
      <c r="D1" s="6" t="s">
        <v>2</v>
      </c>
      <c r="E1" s="6" t="s">
        <v>3</v>
      </c>
      <c r="F1" s="7" t="s">
        <v>4</v>
      </c>
    </row>
    <row r="2" spans="1:6" ht="16" x14ac:dyDescent="0.2">
      <c r="A2" s="2" t="s">
        <v>57</v>
      </c>
      <c r="B2" s="13" t="s">
        <v>757</v>
      </c>
      <c r="C2" s="8" t="s">
        <v>812</v>
      </c>
      <c r="D2" s="2" t="s">
        <v>811</v>
      </c>
      <c r="E2" s="2" t="s">
        <v>6</v>
      </c>
      <c r="F2" s="12" t="s">
        <v>758</v>
      </c>
    </row>
    <row r="3" spans="1:6" ht="16" x14ac:dyDescent="0.2">
      <c r="A3" s="2" t="s">
        <v>57</v>
      </c>
      <c r="B3" s="13" t="s">
        <v>63</v>
      </c>
      <c r="C3" s="8" t="s">
        <v>814</v>
      </c>
      <c r="D3" s="2" t="s">
        <v>5</v>
      </c>
      <c r="E3" s="2" t="s">
        <v>6</v>
      </c>
      <c r="F3" s="12" t="s">
        <v>34</v>
      </c>
    </row>
    <row r="4" spans="1:6" ht="33" customHeight="1" x14ac:dyDescent="0.2">
      <c r="A4" s="2" t="s">
        <v>54</v>
      </c>
      <c r="B4" s="13" t="s">
        <v>7</v>
      </c>
      <c r="C4" s="8" t="s">
        <v>813</v>
      </c>
      <c r="D4" s="2" t="s">
        <v>5</v>
      </c>
      <c r="E4" s="2" t="s">
        <v>6</v>
      </c>
      <c r="F4" s="12" t="s">
        <v>41</v>
      </c>
    </row>
    <row r="5" spans="1:6" ht="115" customHeight="1" x14ac:dyDescent="0.2">
      <c r="A5" s="2" t="s">
        <v>57</v>
      </c>
      <c r="B5" s="13" t="s">
        <v>64</v>
      </c>
      <c r="C5" s="8" t="s">
        <v>94</v>
      </c>
      <c r="D5" s="2" t="s">
        <v>5</v>
      </c>
      <c r="E5" s="2" t="s">
        <v>6</v>
      </c>
      <c r="F5" s="12">
        <v>1</v>
      </c>
    </row>
    <row r="6" spans="1:6" ht="32" x14ac:dyDescent="0.2">
      <c r="A6" s="2" t="s">
        <v>54</v>
      </c>
      <c r="B6" s="13" t="s">
        <v>760</v>
      </c>
      <c r="C6" s="8" t="s">
        <v>195</v>
      </c>
      <c r="D6" s="2" t="s">
        <v>5</v>
      </c>
      <c r="E6" s="2" t="s">
        <v>6</v>
      </c>
      <c r="F6" s="12" t="s">
        <v>810</v>
      </c>
    </row>
    <row r="7" spans="1:6" ht="102" customHeight="1" x14ac:dyDescent="0.2">
      <c r="A7" s="2" t="s">
        <v>54</v>
      </c>
      <c r="B7" s="13" t="s">
        <v>31</v>
      </c>
      <c r="C7" s="8" t="s">
        <v>48</v>
      </c>
      <c r="D7" s="2" t="s">
        <v>5</v>
      </c>
      <c r="E7" s="2" t="s">
        <v>6</v>
      </c>
      <c r="F7" s="12" t="s">
        <v>40</v>
      </c>
    </row>
    <row r="8" spans="1:6" ht="75" customHeight="1" x14ac:dyDescent="0.2">
      <c r="A8" s="2" t="s">
        <v>54</v>
      </c>
      <c r="B8" s="13" t="s">
        <v>32</v>
      </c>
      <c r="C8" s="8" t="s">
        <v>33</v>
      </c>
      <c r="D8" s="2" t="s">
        <v>25</v>
      </c>
      <c r="E8" s="2" t="s">
        <v>6</v>
      </c>
      <c r="F8" s="12" t="s">
        <v>39</v>
      </c>
    </row>
    <row r="9" spans="1:6" ht="116" customHeight="1" x14ac:dyDescent="0.2">
      <c r="A9" s="2" t="s">
        <v>54</v>
      </c>
      <c r="B9" s="13" t="s">
        <v>10</v>
      </c>
      <c r="C9" s="8" t="s">
        <v>378</v>
      </c>
      <c r="D9" s="2" t="s">
        <v>128</v>
      </c>
      <c r="E9" s="2" t="s">
        <v>6</v>
      </c>
      <c r="F9" s="12" t="s">
        <v>95</v>
      </c>
    </row>
    <row r="10" spans="1:6" ht="80" x14ac:dyDescent="0.2">
      <c r="A10" s="2" t="s">
        <v>54</v>
      </c>
      <c r="B10" s="32" t="s">
        <v>89</v>
      </c>
      <c r="C10" s="8" t="s">
        <v>809</v>
      </c>
      <c r="D10" s="2" t="s">
        <v>8</v>
      </c>
      <c r="E10" s="2" t="s">
        <v>9</v>
      </c>
      <c r="F10" s="12">
        <v>1</v>
      </c>
    </row>
    <row r="11" spans="1:6" ht="16" x14ac:dyDescent="0.2">
      <c r="A11" s="2" t="s">
        <v>54</v>
      </c>
      <c r="B11" s="13" t="s">
        <v>59</v>
      </c>
      <c r="C11" s="8" t="s">
        <v>61</v>
      </c>
      <c r="D11" s="2" t="s">
        <v>60</v>
      </c>
      <c r="E11" s="2" t="s">
        <v>6</v>
      </c>
      <c r="F11" s="12" t="s">
        <v>633</v>
      </c>
    </row>
    <row r="12" spans="1:6" s="3" customFormat="1" ht="176" x14ac:dyDescent="0.2">
      <c r="A12" s="3" t="s">
        <v>54</v>
      </c>
      <c r="B12" s="13" t="s">
        <v>28</v>
      </c>
      <c r="C12" s="9" t="s">
        <v>141</v>
      </c>
      <c r="D12" s="3" t="s">
        <v>49</v>
      </c>
      <c r="E12" s="3" t="s">
        <v>6</v>
      </c>
      <c r="F12" s="3" t="s">
        <v>808</v>
      </c>
    </row>
    <row r="13" spans="1:6" s="3" customFormat="1" ht="176" x14ac:dyDescent="0.2">
      <c r="A13" s="3" t="s">
        <v>54</v>
      </c>
      <c r="B13" s="13" t="s">
        <v>11</v>
      </c>
      <c r="C13" s="9" t="s">
        <v>142</v>
      </c>
      <c r="D13" s="3" t="s">
        <v>53</v>
      </c>
      <c r="E13" s="3" t="s">
        <v>6</v>
      </c>
      <c r="F13" s="12" t="s">
        <v>808</v>
      </c>
    </row>
    <row r="14" spans="1:6" s="3" customFormat="1" ht="32" x14ac:dyDescent="0.2">
      <c r="A14" s="3" t="s">
        <v>54</v>
      </c>
      <c r="B14" s="13" t="s">
        <v>756</v>
      </c>
      <c r="C14" s="9" t="s">
        <v>807</v>
      </c>
      <c r="D14" s="3" t="s">
        <v>62</v>
      </c>
      <c r="E14" s="3" t="s">
        <v>6</v>
      </c>
      <c r="F14" s="3" t="s">
        <v>37</v>
      </c>
    </row>
    <row r="15" spans="1:6" s="3" customFormat="1" ht="32" x14ac:dyDescent="0.2">
      <c r="A15" s="3" t="s">
        <v>54</v>
      </c>
      <c r="B15" s="13" t="s">
        <v>753</v>
      </c>
      <c r="C15" s="9" t="s">
        <v>806</v>
      </c>
      <c r="D15" s="3" t="s">
        <v>5</v>
      </c>
      <c r="E15" s="3" t="s">
        <v>6</v>
      </c>
      <c r="F15" s="3" t="s">
        <v>508</v>
      </c>
    </row>
    <row r="16" spans="1:6" s="3" customFormat="1" ht="36" customHeight="1" x14ac:dyDescent="0.2">
      <c r="A16" s="3" t="s">
        <v>54</v>
      </c>
      <c r="B16" s="13" t="s">
        <v>822</v>
      </c>
      <c r="C16" s="9" t="s">
        <v>805</v>
      </c>
      <c r="D16" s="3" t="s">
        <v>5</v>
      </c>
      <c r="E16" s="3" t="s">
        <v>6</v>
      </c>
      <c r="F16" s="3" t="s">
        <v>735</v>
      </c>
    </row>
    <row r="17" spans="1:6" s="3" customFormat="1" ht="32" x14ac:dyDescent="0.2">
      <c r="A17" s="3" t="s">
        <v>54</v>
      </c>
      <c r="B17" s="13" t="s">
        <v>754</v>
      </c>
      <c r="C17" s="9" t="s">
        <v>804</v>
      </c>
      <c r="D17" s="3" t="s">
        <v>803</v>
      </c>
      <c r="E17" s="3" t="s">
        <v>6</v>
      </c>
      <c r="F17" s="3" t="s">
        <v>739</v>
      </c>
    </row>
    <row r="18" spans="1:6" s="3" customFormat="1" ht="32" x14ac:dyDescent="0.2">
      <c r="A18" s="3" t="s">
        <v>54</v>
      </c>
      <c r="B18" s="13" t="s">
        <v>755</v>
      </c>
      <c r="C18" s="9" t="s">
        <v>802</v>
      </c>
      <c r="D18" s="3" t="s">
        <v>8</v>
      </c>
      <c r="E18" s="3" t="s">
        <v>6</v>
      </c>
      <c r="F18" s="3">
        <v>3</v>
      </c>
    </row>
    <row r="19" spans="1:6" s="3" customFormat="1" ht="48" x14ac:dyDescent="0.2">
      <c r="A19" s="3" t="s">
        <v>54</v>
      </c>
      <c r="B19" s="13" t="s">
        <v>30</v>
      </c>
      <c r="C19" s="9" t="s">
        <v>801</v>
      </c>
      <c r="D19" s="3" t="s">
        <v>8</v>
      </c>
      <c r="E19" s="3" t="s">
        <v>790</v>
      </c>
      <c r="F19" s="33">
        <v>20</v>
      </c>
    </row>
    <row r="20" spans="1:6" s="3" customFormat="1" ht="32" x14ac:dyDescent="0.2">
      <c r="A20" s="3" t="s">
        <v>54</v>
      </c>
      <c r="B20" s="13" t="s">
        <v>65</v>
      </c>
      <c r="C20" s="9" t="s">
        <v>138</v>
      </c>
      <c r="D20" s="3" t="s">
        <v>5</v>
      </c>
      <c r="E20" s="3" t="s">
        <v>6</v>
      </c>
      <c r="F20" s="33" t="s">
        <v>42</v>
      </c>
    </row>
    <row r="21" spans="1:6" s="3" customFormat="1" ht="51" customHeight="1" x14ac:dyDescent="0.2">
      <c r="A21" s="3" t="s">
        <v>54</v>
      </c>
      <c r="B21" s="13" t="s">
        <v>23</v>
      </c>
      <c r="C21" s="9" t="s">
        <v>93</v>
      </c>
      <c r="D21" s="3" t="s">
        <v>5</v>
      </c>
      <c r="E21" s="3" t="s">
        <v>6</v>
      </c>
      <c r="F21" s="33" t="s">
        <v>92</v>
      </c>
    </row>
    <row r="22" spans="1:6" s="3" customFormat="1" ht="256" x14ac:dyDescent="0.2">
      <c r="A22" s="2" t="s">
        <v>56</v>
      </c>
      <c r="B22" s="11" t="s">
        <v>29</v>
      </c>
      <c r="C22" s="9" t="s">
        <v>800</v>
      </c>
      <c r="D22" s="3" t="s">
        <v>618</v>
      </c>
      <c r="E22" s="3" t="s">
        <v>6</v>
      </c>
      <c r="F22" s="3" t="s">
        <v>615</v>
      </c>
    </row>
    <row r="23" spans="1:6" s="3" customFormat="1" ht="80" x14ac:dyDescent="0.2">
      <c r="A23" s="2" t="s">
        <v>56</v>
      </c>
      <c r="B23" s="11" t="s">
        <v>751</v>
      </c>
      <c r="C23" s="9" t="s">
        <v>799</v>
      </c>
      <c r="D23" s="3" t="s">
        <v>5</v>
      </c>
      <c r="E23" s="3" t="s">
        <v>6</v>
      </c>
      <c r="F23" s="3" t="s">
        <v>36</v>
      </c>
    </row>
    <row r="24" spans="1:6" s="3" customFormat="1" ht="112" x14ac:dyDescent="0.2">
      <c r="A24" s="2" t="s">
        <v>56</v>
      </c>
      <c r="B24" s="11" t="s">
        <v>752</v>
      </c>
      <c r="C24" s="9" t="s">
        <v>798</v>
      </c>
      <c r="D24" s="3" t="s">
        <v>797</v>
      </c>
      <c r="E24" s="3" t="s">
        <v>6</v>
      </c>
      <c r="F24" s="3" t="s">
        <v>733</v>
      </c>
    </row>
    <row r="25" spans="1:6" s="3" customFormat="1" ht="110" customHeight="1" x14ac:dyDescent="0.2">
      <c r="A25" s="2" t="s">
        <v>56</v>
      </c>
      <c r="B25" s="11" t="s">
        <v>631</v>
      </c>
      <c r="C25" s="9" t="s">
        <v>632</v>
      </c>
      <c r="D25" s="3" t="s">
        <v>630</v>
      </c>
      <c r="E25" s="3" t="s">
        <v>6</v>
      </c>
      <c r="F25" s="3" t="s">
        <v>629</v>
      </c>
    </row>
    <row r="26" spans="1:6" s="3" customFormat="1" ht="138" customHeight="1" x14ac:dyDescent="0.2">
      <c r="A26" s="2"/>
      <c r="B26" s="11" t="s">
        <v>726</v>
      </c>
      <c r="C26" s="9" t="s">
        <v>796</v>
      </c>
      <c r="D26" s="3" t="s">
        <v>727</v>
      </c>
      <c r="E26" s="3" t="s">
        <v>6</v>
      </c>
      <c r="F26" s="3" t="s">
        <v>728</v>
      </c>
    </row>
    <row r="27" spans="1:6" s="3" customFormat="1" ht="144" x14ac:dyDescent="0.2">
      <c r="A27" s="2" t="s">
        <v>56</v>
      </c>
      <c r="B27" s="11" t="s">
        <v>58</v>
      </c>
      <c r="C27" s="9" t="s">
        <v>731</v>
      </c>
      <c r="D27" s="3" t="s">
        <v>5</v>
      </c>
      <c r="E27" s="3" t="s">
        <v>6</v>
      </c>
      <c r="F27" s="3" t="s">
        <v>127</v>
      </c>
    </row>
    <row r="28" spans="1:6" ht="409" customHeight="1" x14ac:dyDescent="0.2">
      <c r="A28" s="2" t="s">
        <v>56</v>
      </c>
      <c r="B28" s="11" t="s">
        <v>66</v>
      </c>
      <c r="C28" s="9" t="s">
        <v>795</v>
      </c>
      <c r="D28" s="2" t="s">
        <v>794</v>
      </c>
      <c r="E28" s="2" t="s">
        <v>6</v>
      </c>
      <c r="F28" s="12" t="s">
        <v>24</v>
      </c>
    </row>
    <row r="29" spans="1:6" ht="40" customHeight="1" x14ac:dyDescent="0.2">
      <c r="A29" s="2" t="s">
        <v>56</v>
      </c>
      <c r="B29" s="11" t="s">
        <v>693</v>
      </c>
      <c r="C29" s="9" t="s">
        <v>793</v>
      </c>
      <c r="D29" s="2" t="s">
        <v>8</v>
      </c>
      <c r="E29" s="2" t="s">
        <v>6</v>
      </c>
      <c r="F29" s="12">
        <v>3</v>
      </c>
    </row>
    <row r="30" spans="1:6" s="3" customFormat="1" ht="256" x14ac:dyDescent="0.2">
      <c r="A30" s="3" t="s">
        <v>56</v>
      </c>
      <c r="B30" s="10" t="s">
        <v>792</v>
      </c>
      <c r="C30" s="9" t="s">
        <v>791</v>
      </c>
      <c r="D30" s="3" t="s">
        <v>8</v>
      </c>
      <c r="E30" s="3" t="s">
        <v>790</v>
      </c>
      <c r="F30" s="12">
        <v>21</v>
      </c>
    </row>
    <row r="31" spans="1:6" s="3" customFormat="1" ht="245" customHeight="1" x14ac:dyDescent="0.2">
      <c r="A31" s="3" t="s">
        <v>56</v>
      </c>
      <c r="B31" s="11" t="s">
        <v>595</v>
      </c>
      <c r="C31" s="9" t="s">
        <v>789</v>
      </c>
      <c r="D31" s="2" t="s">
        <v>5</v>
      </c>
      <c r="E31" s="2" t="s">
        <v>6</v>
      </c>
      <c r="F31" s="12">
        <v>1</v>
      </c>
    </row>
    <row r="32" spans="1:6" s="3" customFormat="1" ht="110" customHeight="1" x14ac:dyDescent="0.2">
      <c r="A32" s="3" t="s">
        <v>56</v>
      </c>
      <c r="B32" s="11" t="s">
        <v>596</v>
      </c>
      <c r="C32" s="9" t="s">
        <v>611</v>
      </c>
      <c r="D32" s="2" t="s">
        <v>5</v>
      </c>
      <c r="E32" s="2" t="s">
        <v>6</v>
      </c>
      <c r="F32" s="12">
        <v>1</v>
      </c>
    </row>
    <row r="33" spans="1:6" ht="240" x14ac:dyDescent="0.2">
      <c r="A33" s="2" t="s">
        <v>56</v>
      </c>
      <c r="B33" s="10" t="s">
        <v>91</v>
      </c>
      <c r="C33" s="8" t="s">
        <v>90</v>
      </c>
      <c r="D33" s="2" t="s">
        <v>5</v>
      </c>
      <c r="E33" s="2" t="s">
        <v>6</v>
      </c>
      <c r="F33" s="12">
        <v>1</v>
      </c>
    </row>
    <row r="34" spans="1:6" ht="51" x14ac:dyDescent="0.2">
      <c r="A34" s="2" t="s">
        <v>56</v>
      </c>
      <c r="B34" s="10" t="s">
        <v>87</v>
      </c>
      <c r="C34" s="8" t="s">
        <v>86</v>
      </c>
      <c r="D34" s="2" t="s">
        <v>8</v>
      </c>
      <c r="E34" s="2" t="s">
        <v>9</v>
      </c>
      <c r="F34" s="12">
        <v>20</v>
      </c>
    </row>
    <row r="35" spans="1:6" ht="160" x14ac:dyDescent="0.2">
      <c r="A35" s="2" t="s">
        <v>56</v>
      </c>
      <c r="B35" s="10" t="s">
        <v>85</v>
      </c>
      <c r="C35" s="8" t="s">
        <v>84</v>
      </c>
      <c r="D35" s="2" t="s">
        <v>8</v>
      </c>
      <c r="E35" s="2" t="s">
        <v>9</v>
      </c>
      <c r="F35" s="12">
        <v>20</v>
      </c>
    </row>
    <row r="36" spans="1:6" ht="51" x14ac:dyDescent="0.2">
      <c r="A36" s="2" t="s">
        <v>56</v>
      </c>
      <c r="B36" s="10" t="s">
        <v>81</v>
      </c>
      <c r="C36" s="8" t="s">
        <v>16</v>
      </c>
      <c r="D36" s="2" t="s">
        <v>8</v>
      </c>
      <c r="E36" s="2" t="s">
        <v>9</v>
      </c>
      <c r="F36" s="12">
        <v>20</v>
      </c>
    </row>
    <row r="37" spans="1:6" ht="16" x14ac:dyDescent="0.2">
      <c r="A37" s="2" t="s">
        <v>56</v>
      </c>
      <c r="B37" s="11" t="s">
        <v>12</v>
      </c>
      <c r="C37" s="8" t="s">
        <v>88</v>
      </c>
      <c r="D37" s="2" t="s">
        <v>5</v>
      </c>
      <c r="E37" s="2" t="s">
        <v>6</v>
      </c>
      <c r="F37" s="12" t="s">
        <v>35</v>
      </c>
    </row>
    <row r="38" spans="1:6" ht="32" x14ac:dyDescent="0.2">
      <c r="A38" s="2" t="s">
        <v>56</v>
      </c>
      <c r="B38" s="11" t="s">
        <v>13</v>
      </c>
      <c r="C38" s="8" t="s">
        <v>50</v>
      </c>
      <c r="D38" s="2" t="s">
        <v>5</v>
      </c>
      <c r="E38" s="2" t="s">
        <v>6</v>
      </c>
      <c r="F38" s="12" t="s">
        <v>27</v>
      </c>
    </row>
    <row r="39" spans="1:6" ht="32" x14ac:dyDescent="0.2">
      <c r="A39" s="2" t="s">
        <v>56</v>
      </c>
      <c r="B39" s="11" t="s">
        <v>17</v>
      </c>
      <c r="C39" s="8" t="s">
        <v>18</v>
      </c>
      <c r="D39" s="2" t="s">
        <v>788</v>
      </c>
      <c r="E39" s="2" t="s">
        <v>6</v>
      </c>
      <c r="F39" s="12" t="s">
        <v>51</v>
      </c>
    </row>
    <row r="40" spans="1:6" ht="51" x14ac:dyDescent="0.2">
      <c r="A40" s="2" t="s">
        <v>56</v>
      </c>
      <c r="B40" s="10" t="s">
        <v>83</v>
      </c>
      <c r="C40" s="8" t="s">
        <v>14</v>
      </c>
      <c r="D40" s="2" t="s">
        <v>8</v>
      </c>
      <c r="E40" s="2" t="s">
        <v>15</v>
      </c>
      <c r="F40" s="12">
        <v>21.053000000000001</v>
      </c>
    </row>
    <row r="41" spans="1:6" ht="80" x14ac:dyDescent="0.2">
      <c r="A41" s="2" t="s">
        <v>56</v>
      </c>
      <c r="B41" s="10" t="s">
        <v>82</v>
      </c>
      <c r="C41" s="9" t="s">
        <v>52</v>
      </c>
      <c r="D41" s="2" t="s">
        <v>8</v>
      </c>
      <c r="E41" s="2" t="s">
        <v>15</v>
      </c>
      <c r="F41" s="12">
        <v>15.549200000000001</v>
      </c>
    </row>
    <row r="42" spans="1:6" ht="96" x14ac:dyDescent="0.2">
      <c r="A42" s="2" t="s">
        <v>56</v>
      </c>
      <c r="B42" s="11" t="s">
        <v>79</v>
      </c>
      <c r="C42" s="8" t="s">
        <v>787</v>
      </c>
      <c r="D42" s="2" t="s">
        <v>5</v>
      </c>
      <c r="E42" s="2" t="s">
        <v>6</v>
      </c>
      <c r="F42" s="12" t="s">
        <v>80</v>
      </c>
    </row>
    <row r="43" spans="1:6" ht="32" x14ac:dyDescent="0.2">
      <c r="A43" s="2" t="s">
        <v>56</v>
      </c>
      <c r="B43" s="11" t="s">
        <v>19</v>
      </c>
      <c r="C43" s="8" t="s">
        <v>20</v>
      </c>
      <c r="D43" s="2" t="s">
        <v>5</v>
      </c>
      <c r="E43" s="2" t="s">
        <v>6</v>
      </c>
      <c r="F43" s="12" t="s">
        <v>46</v>
      </c>
    </row>
    <row r="44" spans="1:6" ht="32" x14ac:dyDescent="0.2">
      <c r="A44" s="2" t="s">
        <v>56</v>
      </c>
      <c r="B44" s="11" t="s">
        <v>21</v>
      </c>
      <c r="C44" s="8" t="s">
        <v>26</v>
      </c>
      <c r="D44" s="2" t="s">
        <v>5</v>
      </c>
      <c r="E44" s="2" t="s">
        <v>6</v>
      </c>
      <c r="F44" s="12" t="s">
        <v>6</v>
      </c>
    </row>
    <row r="45" spans="1:6" ht="192" x14ac:dyDescent="0.2">
      <c r="A45" s="2" t="s">
        <v>56</v>
      </c>
      <c r="B45" s="11" t="s">
        <v>668</v>
      </c>
      <c r="C45" s="8" t="s">
        <v>786</v>
      </c>
      <c r="D45" s="2" t="s">
        <v>669</v>
      </c>
      <c r="E45" s="2" t="s">
        <v>6</v>
      </c>
      <c r="F45" s="12" t="s">
        <v>670</v>
      </c>
    </row>
    <row r="46" spans="1:6" ht="64" x14ac:dyDescent="0.2">
      <c r="A46" s="2" t="s">
        <v>56</v>
      </c>
      <c r="B46" s="11" t="s">
        <v>780</v>
      </c>
      <c r="C46" s="8" t="s">
        <v>785</v>
      </c>
      <c r="D46" s="2" t="s">
        <v>5</v>
      </c>
      <c r="E46" s="2" t="s">
        <v>6</v>
      </c>
      <c r="F46" s="12" t="s">
        <v>6</v>
      </c>
    </row>
    <row r="47" spans="1:6" ht="16" x14ac:dyDescent="0.2">
      <c r="A47" s="2" t="s">
        <v>56</v>
      </c>
      <c r="B47" s="11" t="s">
        <v>22</v>
      </c>
      <c r="C47" s="8" t="s">
        <v>784</v>
      </c>
      <c r="D47" s="2" t="s">
        <v>5</v>
      </c>
      <c r="E47" s="2" t="s">
        <v>6</v>
      </c>
      <c r="F47" s="12"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6B4BA-3DF4-E640-ABAC-67589B4E670A}">
  <dimension ref="A1:Y60"/>
  <sheetViews>
    <sheetView tabSelected="1" zoomScale="125" zoomScaleNormal="125" workbookViewId="0">
      <pane ySplit="1" topLeftCell="A53" activePane="bottomLeft" state="frozen"/>
      <selection pane="bottomLeft" activeCell="B64" sqref="B64"/>
    </sheetView>
  </sheetViews>
  <sheetFormatPr baseColWidth="10" defaultColWidth="8.83203125" defaultRowHeight="20" x14ac:dyDescent="0.25"/>
  <cols>
    <col min="1" max="1" width="21" style="22" customWidth="1"/>
    <col min="2" max="2" width="40.1640625" style="22" customWidth="1"/>
    <col min="3" max="3" width="35" style="22" customWidth="1"/>
    <col min="4" max="4" width="13.6640625" style="22" customWidth="1"/>
    <col min="5" max="5" width="20.83203125" style="22" customWidth="1"/>
    <col min="6" max="6" width="30.83203125" style="22" customWidth="1"/>
    <col min="7" max="10" width="20.83203125" style="22" customWidth="1"/>
    <col min="11" max="11" width="13.1640625" style="22" customWidth="1"/>
    <col min="12" max="13" width="21.6640625" style="22" customWidth="1"/>
    <col min="14" max="14" width="33.5" style="22" customWidth="1"/>
    <col min="15" max="15" width="39.33203125" style="22" customWidth="1"/>
    <col min="16" max="17" width="25.33203125" style="22" customWidth="1"/>
    <col min="18" max="18" width="35.1640625" style="22" customWidth="1"/>
    <col min="19" max="19" width="15.83203125" style="22" customWidth="1"/>
    <col min="20" max="20" width="51.33203125" style="22" customWidth="1"/>
    <col min="21" max="21" width="26.1640625" style="22" customWidth="1"/>
    <col min="22" max="16384" width="8.83203125" style="22"/>
  </cols>
  <sheetData>
    <row r="1" spans="1:25" ht="30.75" customHeight="1" x14ac:dyDescent="0.25">
      <c r="A1" s="14" t="s">
        <v>757</v>
      </c>
      <c r="B1" s="14" t="s">
        <v>63</v>
      </c>
      <c r="C1" s="14" t="s">
        <v>7</v>
      </c>
      <c r="D1" s="29" t="s">
        <v>64</v>
      </c>
      <c r="E1" s="28" t="s">
        <v>760</v>
      </c>
      <c r="F1" s="18" t="s">
        <v>31</v>
      </c>
      <c r="G1" s="18" t="s">
        <v>32</v>
      </c>
      <c r="H1" s="17" t="s">
        <v>10</v>
      </c>
      <c r="I1" s="27" t="s">
        <v>535</v>
      </c>
      <c r="J1" s="27" t="s">
        <v>534</v>
      </c>
      <c r="K1" s="26" t="s">
        <v>59</v>
      </c>
      <c r="L1" s="27" t="s">
        <v>28</v>
      </c>
      <c r="M1" s="26" t="s">
        <v>11</v>
      </c>
      <c r="N1" s="26" t="s">
        <v>756</v>
      </c>
      <c r="O1" s="26" t="s">
        <v>753</v>
      </c>
      <c r="P1" s="28" t="s">
        <v>822</v>
      </c>
      <c r="Q1" s="28" t="s">
        <v>754</v>
      </c>
      <c r="R1" s="28" t="s">
        <v>755</v>
      </c>
      <c r="S1" s="26" t="s">
        <v>30</v>
      </c>
      <c r="T1" s="27" t="s">
        <v>65</v>
      </c>
      <c r="U1" s="27" t="s">
        <v>96</v>
      </c>
    </row>
    <row r="2" spans="1:25" x14ac:dyDescent="0.25">
      <c r="A2" s="22" t="s">
        <v>758</v>
      </c>
      <c r="B2" s="22" t="s">
        <v>34</v>
      </c>
      <c r="C2" s="22" t="s">
        <v>41</v>
      </c>
      <c r="D2" s="22">
        <v>1</v>
      </c>
      <c r="E2" s="22" t="s">
        <v>470</v>
      </c>
      <c r="F2" s="22" t="s">
        <v>40</v>
      </c>
      <c r="G2" s="22" t="s">
        <v>39</v>
      </c>
      <c r="H2" s="22" t="s">
        <v>95</v>
      </c>
      <c r="I2" s="22" t="s">
        <v>38</v>
      </c>
      <c r="J2" s="22" t="s">
        <v>38</v>
      </c>
      <c r="K2" s="22" t="s">
        <v>475</v>
      </c>
      <c r="L2" s="22" t="s">
        <v>429</v>
      </c>
      <c r="M2" s="22" t="s">
        <v>429</v>
      </c>
      <c r="N2" s="22" t="s">
        <v>37</v>
      </c>
      <c r="O2" s="22" t="s">
        <v>36</v>
      </c>
      <c r="P2" s="22" t="s">
        <v>38</v>
      </c>
      <c r="Q2" s="22" t="s">
        <v>740</v>
      </c>
      <c r="R2" s="22" t="s">
        <v>38</v>
      </c>
      <c r="S2" s="22">
        <v>20</v>
      </c>
      <c r="T2" s="22" t="s">
        <v>533</v>
      </c>
      <c r="U2" s="22" t="s">
        <v>532</v>
      </c>
    </row>
    <row r="3" spans="1:25" x14ac:dyDescent="0.25">
      <c r="A3" s="22" t="s">
        <v>758</v>
      </c>
      <c r="B3" s="22" t="s">
        <v>34</v>
      </c>
      <c r="C3" s="22" t="s">
        <v>41</v>
      </c>
      <c r="D3" s="22">
        <v>2</v>
      </c>
      <c r="E3" s="22" t="s">
        <v>470</v>
      </c>
      <c r="F3" s="22" t="s">
        <v>40</v>
      </c>
      <c r="G3" s="22" t="s">
        <v>39</v>
      </c>
      <c r="H3" s="22" t="s">
        <v>95</v>
      </c>
      <c r="I3" s="22" t="s">
        <v>38</v>
      </c>
      <c r="J3" s="22" t="s">
        <v>38</v>
      </c>
      <c r="K3" s="22" t="s">
        <v>475</v>
      </c>
      <c r="L3" s="22" t="s">
        <v>429</v>
      </c>
      <c r="M3" s="22" t="s">
        <v>429</v>
      </c>
      <c r="N3" s="22" t="s">
        <v>37</v>
      </c>
      <c r="O3" s="22" t="s">
        <v>36</v>
      </c>
      <c r="P3" s="22" t="s">
        <v>38</v>
      </c>
      <c r="Q3" s="22" t="s">
        <v>740</v>
      </c>
      <c r="R3" s="22" t="s">
        <v>38</v>
      </c>
      <c r="S3" s="22">
        <v>332</v>
      </c>
      <c r="T3" s="22" t="s">
        <v>531</v>
      </c>
      <c r="U3" s="22" t="s">
        <v>530</v>
      </c>
      <c r="X3" s="25"/>
      <c r="Y3" s="25"/>
    </row>
    <row r="4" spans="1:25" x14ac:dyDescent="0.25">
      <c r="A4" s="22" t="s">
        <v>758</v>
      </c>
      <c r="B4" s="22" t="s">
        <v>140</v>
      </c>
      <c r="C4" s="22" t="s">
        <v>6</v>
      </c>
      <c r="D4" s="22">
        <v>1</v>
      </c>
      <c r="E4" s="22" t="s">
        <v>484</v>
      </c>
      <c r="F4" s="22" t="s">
        <v>529</v>
      </c>
      <c r="G4" s="22" t="s">
        <v>39</v>
      </c>
      <c r="H4" s="22" t="s">
        <v>38</v>
      </c>
      <c r="I4" s="22" t="s">
        <v>38</v>
      </c>
      <c r="J4" s="22" t="s">
        <v>38</v>
      </c>
      <c r="K4" s="22" t="s">
        <v>421</v>
      </c>
      <c r="L4" s="22" t="s">
        <v>471</v>
      </c>
      <c r="M4" s="22" t="s">
        <v>471</v>
      </c>
      <c r="N4" s="22" t="s">
        <v>511</v>
      </c>
      <c r="O4" s="22" t="s">
        <v>38</v>
      </c>
      <c r="P4" s="22" t="s">
        <v>38</v>
      </c>
      <c r="Q4" s="22" t="s">
        <v>38</v>
      </c>
      <c r="R4" s="22" t="s">
        <v>38</v>
      </c>
      <c r="S4" s="22">
        <v>0</v>
      </c>
      <c r="T4" s="22" t="s">
        <v>528</v>
      </c>
      <c r="U4" s="22" t="s">
        <v>527</v>
      </c>
    </row>
    <row r="5" spans="1:25" x14ac:dyDescent="0.25">
      <c r="A5" s="22" t="s">
        <v>758</v>
      </c>
      <c r="B5" s="22" t="s">
        <v>148</v>
      </c>
      <c r="C5" s="22" t="s">
        <v>97</v>
      </c>
      <c r="D5" s="22">
        <v>1</v>
      </c>
      <c r="E5" s="22" t="s">
        <v>428</v>
      </c>
      <c r="F5" s="22" t="s">
        <v>427</v>
      </c>
      <c r="G5" s="22" t="s">
        <v>426</v>
      </c>
      <c r="H5" s="22" t="s">
        <v>95</v>
      </c>
      <c r="I5" s="22" t="s">
        <v>38</v>
      </c>
      <c r="J5" s="22" t="s">
        <v>38</v>
      </c>
      <c r="K5" s="22" t="s">
        <v>421</v>
      </c>
      <c r="L5" s="22" t="s">
        <v>425</v>
      </c>
      <c r="M5" s="22" t="s">
        <v>425</v>
      </c>
      <c r="N5" s="22" t="s">
        <v>37</v>
      </c>
      <c r="O5" s="22" t="s">
        <v>424</v>
      </c>
      <c r="P5" s="22" t="s">
        <v>735</v>
      </c>
      <c r="Q5" s="22" t="s">
        <v>38</v>
      </c>
      <c r="R5" s="22">
        <v>3</v>
      </c>
      <c r="S5" s="22">
        <v>42</v>
      </c>
      <c r="T5" s="22" t="s">
        <v>526</v>
      </c>
      <c r="U5" s="22" t="s">
        <v>525</v>
      </c>
    </row>
    <row r="6" spans="1:25" x14ac:dyDescent="0.25">
      <c r="A6" s="22" t="s">
        <v>758</v>
      </c>
      <c r="B6" s="22" t="s">
        <v>148</v>
      </c>
      <c r="C6" s="22" t="s">
        <v>97</v>
      </c>
      <c r="D6" s="22">
        <v>2</v>
      </c>
      <c r="E6" s="22" t="s">
        <v>428</v>
      </c>
      <c r="F6" s="22" t="s">
        <v>427</v>
      </c>
      <c r="G6" s="22" t="s">
        <v>426</v>
      </c>
      <c r="H6" s="22" t="s">
        <v>95</v>
      </c>
      <c r="I6" s="22" t="s">
        <v>38</v>
      </c>
      <c r="J6" s="22" t="s">
        <v>38</v>
      </c>
      <c r="K6" s="22" t="s">
        <v>421</v>
      </c>
      <c r="L6" s="22" t="s">
        <v>425</v>
      </c>
      <c r="M6" s="22" t="s">
        <v>425</v>
      </c>
      <c r="N6" s="22" t="s">
        <v>511</v>
      </c>
      <c r="O6" s="22" t="s">
        <v>424</v>
      </c>
      <c r="P6" s="22" t="s">
        <v>735</v>
      </c>
      <c r="Q6" s="22" t="s">
        <v>38</v>
      </c>
      <c r="R6" s="22">
        <v>3</v>
      </c>
      <c r="S6" s="22">
        <v>14</v>
      </c>
      <c r="T6" s="22" t="s">
        <v>524</v>
      </c>
      <c r="U6" s="22" t="s">
        <v>820</v>
      </c>
    </row>
    <row r="7" spans="1:25" x14ac:dyDescent="0.25">
      <c r="A7" s="22" t="s">
        <v>758</v>
      </c>
      <c r="B7" s="22" t="s">
        <v>148</v>
      </c>
      <c r="C7" s="22" t="s">
        <v>97</v>
      </c>
      <c r="D7" s="22">
        <v>3</v>
      </c>
      <c r="E7" s="22" t="s">
        <v>428</v>
      </c>
      <c r="F7" s="22" t="s">
        <v>427</v>
      </c>
      <c r="G7" s="22" t="s">
        <v>426</v>
      </c>
      <c r="H7" s="22" t="s">
        <v>95</v>
      </c>
      <c r="I7" s="22" t="s">
        <v>38</v>
      </c>
      <c r="J7" s="22" t="s">
        <v>38</v>
      </c>
      <c r="K7" s="22" t="s">
        <v>421</v>
      </c>
      <c r="L7" s="22" t="s">
        <v>425</v>
      </c>
      <c r="M7" s="22" t="s">
        <v>425</v>
      </c>
      <c r="N7" s="22" t="s">
        <v>511</v>
      </c>
      <c r="O7" s="22" t="s">
        <v>424</v>
      </c>
      <c r="P7" s="22" t="s">
        <v>735</v>
      </c>
      <c r="Q7" s="22" t="s">
        <v>38</v>
      </c>
      <c r="R7" s="22">
        <v>3</v>
      </c>
      <c r="S7" s="22">
        <v>14</v>
      </c>
      <c r="T7" s="22" t="s">
        <v>523</v>
      </c>
      <c r="U7" s="22" t="s">
        <v>821</v>
      </c>
    </row>
    <row r="8" spans="1:25" x14ac:dyDescent="0.25">
      <c r="A8" s="22" t="s">
        <v>758</v>
      </c>
      <c r="B8" s="22" t="s">
        <v>162</v>
      </c>
      <c r="C8" s="22" t="s">
        <v>98</v>
      </c>
      <c r="D8" s="22">
        <v>1</v>
      </c>
      <c r="E8" s="22" t="s">
        <v>519</v>
      </c>
      <c r="F8" s="22" t="s">
        <v>521</v>
      </c>
      <c r="G8" s="22" t="s">
        <v>39</v>
      </c>
      <c r="H8" s="22" t="s">
        <v>95</v>
      </c>
      <c r="I8" s="22">
        <v>6</v>
      </c>
      <c r="J8" s="22">
        <v>6</v>
      </c>
      <c r="K8" s="22" t="s">
        <v>421</v>
      </c>
      <c r="L8" s="22" t="s">
        <v>425</v>
      </c>
      <c r="M8" s="22" t="s">
        <v>425</v>
      </c>
      <c r="N8" s="22" t="s">
        <v>37</v>
      </c>
      <c r="O8" s="22" t="s">
        <v>736</v>
      </c>
      <c r="P8" s="22" t="s">
        <v>38</v>
      </c>
      <c r="Q8" s="22" t="s">
        <v>739</v>
      </c>
      <c r="R8" s="22">
        <v>5</v>
      </c>
      <c r="S8" s="22">
        <f>34*7</f>
        <v>238</v>
      </c>
      <c r="T8" s="22" t="s">
        <v>522</v>
      </c>
      <c r="U8" s="22" t="s">
        <v>684</v>
      </c>
    </row>
    <row r="9" spans="1:25" x14ac:dyDescent="0.25">
      <c r="A9" s="22" t="s">
        <v>758</v>
      </c>
      <c r="B9" s="22" t="s">
        <v>162</v>
      </c>
      <c r="C9" s="22" t="s">
        <v>98</v>
      </c>
      <c r="D9" s="22">
        <v>2</v>
      </c>
      <c r="E9" s="22" t="s">
        <v>519</v>
      </c>
      <c r="F9" s="22" t="s">
        <v>521</v>
      </c>
      <c r="G9" s="22" t="s">
        <v>39</v>
      </c>
      <c r="H9" s="22" t="s">
        <v>95</v>
      </c>
      <c r="I9" s="22">
        <v>6</v>
      </c>
      <c r="J9" s="22">
        <v>6</v>
      </c>
      <c r="K9" s="22" t="s">
        <v>421</v>
      </c>
      <c r="L9" s="22" t="s">
        <v>425</v>
      </c>
      <c r="M9" s="22" t="s">
        <v>425</v>
      </c>
      <c r="N9" s="22" t="s">
        <v>37</v>
      </c>
      <c r="O9" s="22" t="s">
        <v>737</v>
      </c>
      <c r="P9" s="22" t="s">
        <v>735</v>
      </c>
      <c r="Q9" s="22" t="s">
        <v>38</v>
      </c>
      <c r="R9" s="22">
        <v>3</v>
      </c>
      <c r="S9" s="22">
        <f>2*7</f>
        <v>14</v>
      </c>
      <c r="T9" s="22" t="s">
        <v>520</v>
      </c>
      <c r="U9" s="22" t="s">
        <v>635</v>
      </c>
    </row>
    <row r="10" spans="1:25" x14ac:dyDescent="0.25">
      <c r="A10" s="22" t="s">
        <v>758</v>
      </c>
      <c r="B10" s="22" t="s">
        <v>162</v>
      </c>
      <c r="C10" s="22" t="s">
        <v>98</v>
      </c>
      <c r="D10" s="22">
        <v>3</v>
      </c>
      <c r="E10" s="22" t="s">
        <v>519</v>
      </c>
      <c r="F10" s="22" t="s">
        <v>518</v>
      </c>
      <c r="G10" s="22" t="s">
        <v>39</v>
      </c>
      <c r="H10" s="22" t="s">
        <v>38</v>
      </c>
      <c r="I10" s="22" t="s">
        <v>38</v>
      </c>
      <c r="J10" s="22" t="s">
        <v>38</v>
      </c>
      <c r="K10" s="22" t="s">
        <v>421</v>
      </c>
      <c r="L10" s="22" t="s">
        <v>429</v>
      </c>
      <c r="M10" s="22" t="s">
        <v>429</v>
      </c>
      <c r="N10" s="22" t="s">
        <v>37</v>
      </c>
      <c r="O10" s="22" t="s">
        <v>738</v>
      </c>
      <c r="P10" s="22" t="s">
        <v>38</v>
      </c>
      <c r="Q10" s="22" t="s">
        <v>38</v>
      </c>
      <c r="R10" s="22">
        <v>3</v>
      </c>
      <c r="S10" s="22">
        <v>14</v>
      </c>
      <c r="T10" s="22" t="s">
        <v>517</v>
      </c>
      <c r="U10" s="22" t="s">
        <v>637</v>
      </c>
    </row>
    <row r="11" spans="1:25" x14ac:dyDescent="0.25">
      <c r="A11" s="22" t="s">
        <v>758</v>
      </c>
      <c r="B11" s="22" t="s">
        <v>186</v>
      </c>
      <c r="C11" s="22" t="s">
        <v>185</v>
      </c>
      <c r="D11" s="22">
        <v>1</v>
      </c>
      <c r="E11" s="22" t="s">
        <v>516</v>
      </c>
      <c r="F11" s="22" t="s">
        <v>515</v>
      </c>
      <c r="G11" s="22" t="s">
        <v>426</v>
      </c>
      <c r="H11" s="22" t="s">
        <v>95</v>
      </c>
      <c r="I11" s="22" t="s">
        <v>38</v>
      </c>
      <c r="J11" s="22" t="s">
        <v>38</v>
      </c>
      <c r="K11" s="22" t="s">
        <v>421</v>
      </c>
      <c r="L11" s="22" t="s">
        <v>425</v>
      </c>
      <c r="M11" s="22" t="s">
        <v>425</v>
      </c>
      <c r="N11" s="22" t="s">
        <v>37</v>
      </c>
      <c r="O11" s="22" t="s">
        <v>508</v>
      </c>
      <c r="P11" s="22" t="s">
        <v>735</v>
      </c>
      <c r="Q11" s="22" t="s">
        <v>739</v>
      </c>
      <c r="R11" s="22" t="s">
        <v>38</v>
      </c>
      <c r="S11" s="22">
        <v>99</v>
      </c>
      <c r="T11" s="22" t="s">
        <v>514</v>
      </c>
      <c r="U11" s="22" t="s">
        <v>513</v>
      </c>
    </row>
    <row r="12" spans="1:25" x14ac:dyDescent="0.25">
      <c r="A12" s="22" t="s">
        <v>758</v>
      </c>
      <c r="B12" s="22" t="s">
        <v>194</v>
      </c>
      <c r="C12" s="22" t="s">
        <v>99</v>
      </c>
      <c r="D12" s="22">
        <v>1</v>
      </c>
      <c r="E12" s="22" t="s">
        <v>438</v>
      </c>
      <c r="F12" s="22" t="s">
        <v>437</v>
      </c>
      <c r="G12" s="22" t="s">
        <v>39</v>
      </c>
      <c r="H12" s="22" t="s">
        <v>95</v>
      </c>
      <c r="I12" s="22" t="s">
        <v>38</v>
      </c>
      <c r="J12" s="22" t="s">
        <v>38</v>
      </c>
      <c r="K12" s="22" t="s">
        <v>421</v>
      </c>
      <c r="L12" s="22" t="s">
        <v>440</v>
      </c>
      <c r="M12" s="22" t="s">
        <v>440</v>
      </c>
      <c r="N12" s="22" t="s">
        <v>37</v>
      </c>
      <c r="O12" s="22" t="s">
        <v>196</v>
      </c>
      <c r="P12" s="22" t="s">
        <v>38</v>
      </c>
      <c r="Q12" s="22" t="s">
        <v>38</v>
      </c>
      <c r="R12" s="22" t="s">
        <v>38</v>
      </c>
      <c r="S12" s="22">
        <v>1</v>
      </c>
      <c r="T12" s="22" t="s">
        <v>6</v>
      </c>
      <c r="U12" s="22" t="s">
        <v>616</v>
      </c>
    </row>
    <row r="13" spans="1:25" x14ac:dyDescent="0.25">
      <c r="A13" s="22" t="s">
        <v>758</v>
      </c>
      <c r="B13" s="22" t="s">
        <v>210</v>
      </c>
      <c r="C13" s="22" t="s">
        <v>101</v>
      </c>
      <c r="D13" s="22">
        <v>1</v>
      </c>
      <c r="E13" s="22" t="s">
        <v>510</v>
      </c>
      <c r="F13" s="22" t="s">
        <v>509</v>
      </c>
      <c r="G13" s="22" t="s">
        <v>39</v>
      </c>
      <c r="H13" s="22" t="s">
        <v>38</v>
      </c>
      <c r="I13" s="22" t="s">
        <v>38</v>
      </c>
      <c r="J13" s="22" t="s">
        <v>38</v>
      </c>
      <c r="K13" s="22" t="s">
        <v>421</v>
      </c>
      <c r="L13" s="22" t="s">
        <v>425</v>
      </c>
      <c r="M13" s="22" t="s">
        <v>425</v>
      </c>
      <c r="N13" s="22" t="s">
        <v>37</v>
      </c>
      <c r="O13" s="22" t="s">
        <v>508</v>
      </c>
      <c r="P13" s="22" t="s">
        <v>735</v>
      </c>
      <c r="Q13" s="22" t="s">
        <v>739</v>
      </c>
      <c r="R13" s="22" t="s">
        <v>38</v>
      </c>
      <c r="S13" s="22">
        <v>3</v>
      </c>
      <c r="T13" s="22" t="s">
        <v>621</v>
      </c>
      <c r="U13" s="22" t="s">
        <v>709</v>
      </c>
    </row>
    <row r="14" spans="1:25" x14ac:dyDescent="0.25">
      <c r="A14" s="22" t="s">
        <v>758</v>
      </c>
      <c r="B14" s="22" t="s">
        <v>210</v>
      </c>
      <c r="C14" s="22" t="s">
        <v>101</v>
      </c>
      <c r="D14" s="22">
        <v>2</v>
      </c>
      <c r="E14" s="22" t="s">
        <v>510</v>
      </c>
      <c r="F14" s="22" t="s">
        <v>509</v>
      </c>
      <c r="G14" s="22" t="s">
        <v>39</v>
      </c>
      <c r="H14" s="22" t="s">
        <v>38</v>
      </c>
      <c r="I14" s="22" t="s">
        <v>38</v>
      </c>
      <c r="J14" s="22" t="s">
        <v>38</v>
      </c>
      <c r="K14" s="22" t="s">
        <v>421</v>
      </c>
      <c r="L14" s="22" t="s">
        <v>425</v>
      </c>
      <c r="M14" s="22" t="s">
        <v>425</v>
      </c>
      <c r="N14" s="22" t="s">
        <v>37</v>
      </c>
      <c r="O14" s="22" t="s">
        <v>508</v>
      </c>
      <c r="P14" s="22" t="s">
        <v>735</v>
      </c>
      <c r="Q14" s="22" t="s">
        <v>739</v>
      </c>
      <c r="R14" s="22" t="s">
        <v>38</v>
      </c>
      <c r="S14" s="22">
        <v>3</v>
      </c>
      <c r="T14" s="22" t="s">
        <v>507</v>
      </c>
      <c r="U14" s="22" t="s">
        <v>709</v>
      </c>
    </row>
    <row r="15" spans="1:25" x14ac:dyDescent="0.25">
      <c r="A15" s="22" t="s">
        <v>758</v>
      </c>
      <c r="B15" s="22" t="s">
        <v>216</v>
      </c>
      <c r="C15" s="22" t="s">
        <v>121</v>
      </c>
      <c r="D15" s="22">
        <v>1</v>
      </c>
      <c r="E15" s="22" t="s">
        <v>505</v>
      </c>
      <c r="F15" s="22" t="s">
        <v>504</v>
      </c>
      <c r="G15" s="22" t="s">
        <v>39</v>
      </c>
      <c r="H15" s="22" t="s">
        <v>95</v>
      </c>
      <c r="I15" s="22" t="s">
        <v>38</v>
      </c>
      <c r="J15" s="22" t="s">
        <v>38</v>
      </c>
      <c r="K15" s="22" t="s">
        <v>421</v>
      </c>
      <c r="L15" s="22" t="s">
        <v>429</v>
      </c>
      <c r="M15" s="22" t="s">
        <v>429</v>
      </c>
      <c r="N15" s="22" t="s">
        <v>37</v>
      </c>
      <c r="O15" s="22" t="s">
        <v>741</v>
      </c>
      <c r="P15" s="22" t="s">
        <v>38</v>
      </c>
      <c r="Q15" s="22" t="s">
        <v>38</v>
      </c>
      <c r="R15" s="22" t="s">
        <v>38</v>
      </c>
      <c r="S15" s="22">
        <v>1</v>
      </c>
      <c r="T15" s="22" t="s">
        <v>506</v>
      </c>
      <c r="U15" s="22" t="s">
        <v>622</v>
      </c>
    </row>
    <row r="16" spans="1:25" x14ac:dyDescent="0.25">
      <c r="A16" s="22" t="s">
        <v>758</v>
      </c>
      <c r="B16" s="22" t="s">
        <v>216</v>
      </c>
      <c r="C16" s="22" t="s">
        <v>121</v>
      </c>
      <c r="D16" s="22">
        <v>2</v>
      </c>
      <c r="E16" s="22" t="s">
        <v>505</v>
      </c>
      <c r="F16" s="22" t="s">
        <v>504</v>
      </c>
      <c r="G16" s="22" t="s">
        <v>39</v>
      </c>
      <c r="H16" s="22" t="s">
        <v>95</v>
      </c>
      <c r="I16" s="22" t="s">
        <v>38</v>
      </c>
      <c r="J16" s="22" t="s">
        <v>38</v>
      </c>
      <c r="K16" s="22" t="s">
        <v>421</v>
      </c>
      <c r="L16" s="22" t="s">
        <v>429</v>
      </c>
      <c r="M16" s="22" t="s">
        <v>429</v>
      </c>
      <c r="N16" s="22" t="s">
        <v>37</v>
      </c>
      <c r="O16" s="22" t="s">
        <v>741</v>
      </c>
      <c r="P16" s="22" t="s">
        <v>38</v>
      </c>
      <c r="Q16" s="22" t="s">
        <v>38</v>
      </c>
      <c r="R16" s="22" t="s">
        <v>38</v>
      </c>
      <c r="S16" s="22">
        <v>1</v>
      </c>
      <c r="T16" s="22" t="s">
        <v>503</v>
      </c>
      <c r="U16" s="22" t="s">
        <v>622</v>
      </c>
    </row>
    <row r="17" spans="1:21" x14ac:dyDescent="0.25">
      <c r="A17" s="22" t="s">
        <v>758</v>
      </c>
      <c r="B17" s="22" t="s">
        <v>224</v>
      </c>
      <c r="C17" s="22" t="s">
        <v>500</v>
      </c>
      <c r="D17" s="22">
        <v>1</v>
      </c>
      <c r="E17" s="22" t="s">
        <v>499</v>
      </c>
      <c r="F17" s="22" t="s">
        <v>498</v>
      </c>
      <c r="G17" s="22" t="s">
        <v>426</v>
      </c>
      <c r="H17" s="22" t="s">
        <v>38</v>
      </c>
      <c r="I17" s="22" t="s">
        <v>38</v>
      </c>
      <c r="J17" s="22" t="s">
        <v>38</v>
      </c>
      <c r="K17" s="22" t="s">
        <v>421</v>
      </c>
      <c r="L17" s="22" t="s">
        <v>425</v>
      </c>
      <c r="M17" s="22" t="s">
        <v>425</v>
      </c>
      <c r="N17" s="22" t="s">
        <v>37</v>
      </c>
      <c r="O17" s="22" t="s">
        <v>497</v>
      </c>
      <c r="P17" s="22" t="s">
        <v>735</v>
      </c>
      <c r="Q17" s="22" t="s">
        <v>38</v>
      </c>
      <c r="R17" s="22" t="s">
        <v>38</v>
      </c>
      <c r="S17" s="22">
        <v>0.5</v>
      </c>
      <c r="T17" s="22" t="s">
        <v>502</v>
      </c>
      <c r="U17" s="22" t="s">
        <v>501</v>
      </c>
    </row>
    <row r="18" spans="1:21" x14ac:dyDescent="0.25">
      <c r="A18" s="22" t="s">
        <v>758</v>
      </c>
      <c r="B18" s="22" t="s">
        <v>224</v>
      </c>
      <c r="C18" s="22" t="s">
        <v>500</v>
      </c>
      <c r="D18" s="22">
        <v>2</v>
      </c>
      <c r="E18" s="22" t="s">
        <v>499</v>
      </c>
      <c r="F18" s="22" t="s">
        <v>498</v>
      </c>
      <c r="G18" s="22" t="s">
        <v>426</v>
      </c>
      <c r="H18" s="22" t="s">
        <v>38</v>
      </c>
      <c r="I18" s="22" t="s">
        <v>38</v>
      </c>
      <c r="J18" s="22" t="s">
        <v>38</v>
      </c>
      <c r="K18" s="22" t="s">
        <v>421</v>
      </c>
      <c r="L18" s="22" t="s">
        <v>425</v>
      </c>
      <c r="M18" s="22" t="s">
        <v>425</v>
      </c>
      <c r="N18" s="22" t="s">
        <v>37</v>
      </c>
      <c r="O18" s="22" t="s">
        <v>497</v>
      </c>
      <c r="P18" s="22" t="s">
        <v>735</v>
      </c>
      <c r="Q18" s="22" t="s">
        <v>38</v>
      </c>
      <c r="R18" s="22" t="s">
        <v>38</v>
      </c>
      <c r="S18" s="22">
        <v>0.5</v>
      </c>
      <c r="T18" s="22" t="s">
        <v>496</v>
      </c>
      <c r="U18" s="22" t="s">
        <v>495</v>
      </c>
    </row>
    <row r="19" spans="1:21" x14ac:dyDescent="0.25">
      <c r="A19" s="22" t="s">
        <v>758</v>
      </c>
      <c r="B19" s="22" t="s">
        <v>231</v>
      </c>
      <c r="C19" s="22" t="s">
        <v>102</v>
      </c>
      <c r="D19" s="22">
        <v>1</v>
      </c>
      <c r="E19" s="22" t="s">
        <v>438</v>
      </c>
      <c r="F19" s="22" t="s">
        <v>490</v>
      </c>
      <c r="G19" s="22" t="s">
        <v>39</v>
      </c>
      <c r="H19" s="22" t="s">
        <v>95</v>
      </c>
      <c r="I19" s="22" t="s">
        <v>38</v>
      </c>
      <c r="J19" s="22" t="s">
        <v>38</v>
      </c>
      <c r="K19" s="22" t="s">
        <v>421</v>
      </c>
      <c r="L19" s="22" t="s">
        <v>38</v>
      </c>
      <c r="M19" s="22" t="s">
        <v>38</v>
      </c>
      <c r="N19" s="22" t="s">
        <v>37</v>
      </c>
      <c r="O19" s="22" t="s">
        <v>388</v>
      </c>
      <c r="P19" s="22" t="s">
        <v>38</v>
      </c>
      <c r="Q19" s="22" t="s">
        <v>38</v>
      </c>
      <c r="R19" s="22" t="s">
        <v>38</v>
      </c>
      <c r="S19" s="22">
        <v>1</v>
      </c>
      <c r="T19" s="22" t="s">
        <v>494</v>
      </c>
      <c r="U19" s="22" t="s">
        <v>493</v>
      </c>
    </row>
    <row r="20" spans="1:21" x14ac:dyDescent="0.25">
      <c r="A20" s="22" t="s">
        <v>758</v>
      </c>
      <c r="B20" s="22" t="s">
        <v>231</v>
      </c>
      <c r="C20" s="22" t="s">
        <v>102</v>
      </c>
      <c r="D20" s="22">
        <v>2</v>
      </c>
      <c r="E20" s="22" t="s">
        <v>438</v>
      </c>
      <c r="F20" s="22" t="s">
        <v>490</v>
      </c>
      <c r="G20" s="22" t="s">
        <v>39</v>
      </c>
      <c r="H20" s="22" t="s">
        <v>95</v>
      </c>
      <c r="I20" s="22" t="s">
        <v>38</v>
      </c>
      <c r="J20" s="22" t="s">
        <v>38</v>
      </c>
      <c r="K20" s="22" t="s">
        <v>421</v>
      </c>
      <c r="L20" s="22" t="s">
        <v>38</v>
      </c>
      <c r="M20" s="22" t="s">
        <v>38</v>
      </c>
      <c r="N20" s="22" t="s">
        <v>37</v>
      </c>
      <c r="O20" s="22" t="s">
        <v>388</v>
      </c>
      <c r="P20" s="22" t="s">
        <v>38</v>
      </c>
      <c r="Q20" s="22" t="s">
        <v>38</v>
      </c>
      <c r="R20" s="22" t="s">
        <v>38</v>
      </c>
      <c r="S20" s="22">
        <v>1</v>
      </c>
      <c r="T20" s="22" t="s">
        <v>492</v>
      </c>
      <c r="U20" s="22" t="s">
        <v>491</v>
      </c>
    </row>
    <row r="21" spans="1:21" x14ac:dyDescent="0.25">
      <c r="A21" s="22" t="s">
        <v>758</v>
      </c>
      <c r="B21" s="22" t="s">
        <v>231</v>
      </c>
      <c r="C21" s="22" t="s">
        <v>102</v>
      </c>
      <c r="D21" s="22">
        <v>3</v>
      </c>
      <c r="E21" s="22" t="s">
        <v>438</v>
      </c>
      <c r="F21" s="22" t="s">
        <v>490</v>
      </c>
      <c r="G21" s="22" t="s">
        <v>39</v>
      </c>
      <c r="H21" s="22" t="s">
        <v>95</v>
      </c>
      <c r="I21" s="22" t="s">
        <v>38</v>
      </c>
      <c r="J21" s="22" t="s">
        <v>38</v>
      </c>
      <c r="K21" s="22" t="s">
        <v>421</v>
      </c>
      <c r="L21" s="22" t="s">
        <v>38</v>
      </c>
      <c r="M21" s="22" t="s">
        <v>38</v>
      </c>
      <c r="N21" s="22" t="s">
        <v>37</v>
      </c>
      <c r="O21" s="22" t="s">
        <v>388</v>
      </c>
      <c r="P21" s="22" t="s">
        <v>38</v>
      </c>
      <c r="Q21" s="22" t="s">
        <v>38</v>
      </c>
      <c r="R21" s="22" t="s">
        <v>38</v>
      </c>
      <c r="S21" s="22">
        <v>1</v>
      </c>
      <c r="T21" s="22" t="s">
        <v>489</v>
      </c>
      <c r="U21" s="22" t="s">
        <v>488</v>
      </c>
    </row>
    <row r="22" spans="1:21" x14ac:dyDescent="0.25">
      <c r="A22" s="22" t="s">
        <v>758</v>
      </c>
      <c r="B22" s="22" t="s">
        <v>246</v>
      </c>
      <c r="C22" s="22" t="s">
        <v>111</v>
      </c>
      <c r="D22" s="22">
        <v>1</v>
      </c>
      <c r="E22" s="22" t="s">
        <v>487</v>
      </c>
      <c r="F22" s="22" t="s">
        <v>486</v>
      </c>
      <c r="G22" s="22" t="s">
        <v>426</v>
      </c>
      <c r="H22" s="22" t="s">
        <v>95</v>
      </c>
      <c r="I22" s="22" t="s">
        <v>38</v>
      </c>
      <c r="J22" s="22" t="s">
        <v>38</v>
      </c>
      <c r="K22" s="22" t="s">
        <v>421</v>
      </c>
      <c r="L22" s="22" t="s">
        <v>38</v>
      </c>
      <c r="M22" s="22" t="s">
        <v>38</v>
      </c>
      <c r="N22" s="22" t="s">
        <v>37</v>
      </c>
      <c r="O22" s="22" t="s">
        <v>742</v>
      </c>
      <c r="P22" s="22" t="s">
        <v>38</v>
      </c>
      <c r="Q22" s="22" t="s">
        <v>38</v>
      </c>
      <c r="R22" s="22" t="s">
        <v>38</v>
      </c>
      <c r="S22" s="22">
        <v>80</v>
      </c>
      <c r="T22" s="22" t="s">
        <v>6</v>
      </c>
      <c r="U22" s="22" t="s">
        <v>485</v>
      </c>
    </row>
    <row r="23" spans="1:21" x14ac:dyDescent="0.25">
      <c r="A23" s="22" t="s">
        <v>758</v>
      </c>
      <c r="B23" s="22" t="s">
        <v>254</v>
      </c>
      <c r="C23" s="22" t="s">
        <v>232</v>
      </c>
      <c r="D23" s="22">
        <v>1</v>
      </c>
      <c r="E23" s="22" t="s">
        <v>484</v>
      </c>
      <c r="F23" s="22" t="s">
        <v>483</v>
      </c>
      <c r="G23" s="22" t="s">
        <v>426</v>
      </c>
      <c r="H23" s="22" t="s">
        <v>38</v>
      </c>
      <c r="I23" s="22" t="s">
        <v>38</v>
      </c>
      <c r="J23" s="22" t="s">
        <v>38</v>
      </c>
      <c r="K23" s="22" t="s">
        <v>421</v>
      </c>
      <c r="L23" s="22" t="s">
        <v>425</v>
      </c>
      <c r="M23" s="22" t="s">
        <v>425</v>
      </c>
      <c r="N23" s="22" t="s">
        <v>37</v>
      </c>
      <c r="O23" s="22" t="s">
        <v>743</v>
      </c>
      <c r="P23" s="22" t="s">
        <v>38</v>
      </c>
      <c r="Q23" s="22" t="s">
        <v>38</v>
      </c>
      <c r="R23" s="22" t="s">
        <v>38</v>
      </c>
      <c r="S23" s="22" t="s">
        <v>6</v>
      </c>
      <c r="T23" s="22" t="s">
        <v>6</v>
      </c>
      <c r="U23" s="22" t="s">
        <v>744</v>
      </c>
    </row>
    <row r="24" spans="1:21" x14ac:dyDescent="0.25">
      <c r="A24" s="22" t="s">
        <v>758</v>
      </c>
      <c r="B24" s="22" t="s">
        <v>256</v>
      </c>
      <c r="C24" s="22" t="s">
        <v>103</v>
      </c>
      <c r="D24" s="22">
        <v>1</v>
      </c>
      <c r="E24" s="22" t="s">
        <v>477</v>
      </c>
      <c r="F24" s="22" t="s">
        <v>472</v>
      </c>
      <c r="G24" s="22" t="s">
        <v>426</v>
      </c>
      <c r="H24" s="22" t="s">
        <v>95</v>
      </c>
      <c r="I24" s="22">
        <v>1</v>
      </c>
      <c r="J24" s="22">
        <v>1</v>
      </c>
      <c r="K24" s="22" t="s">
        <v>475</v>
      </c>
      <c r="L24" s="22" t="s">
        <v>429</v>
      </c>
      <c r="M24" s="22" t="s">
        <v>429</v>
      </c>
      <c r="N24" s="22" t="s">
        <v>37</v>
      </c>
      <c r="O24" s="22" t="s">
        <v>508</v>
      </c>
      <c r="P24" s="22" t="s">
        <v>735</v>
      </c>
      <c r="Q24" s="22" t="s">
        <v>739</v>
      </c>
      <c r="R24" s="22" t="s">
        <v>38</v>
      </c>
      <c r="S24" s="22">
        <v>30</v>
      </c>
      <c r="T24" s="22" t="s">
        <v>6</v>
      </c>
      <c r="U24" s="22" t="s">
        <v>482</v>
      </c>
    </row>
    <row r="25" spans="1:21" x14ac:dyDescent="0.25">
      <c r="A25" s="22" t="s">
        <v>758</v>
      </c>
      <c r="B25" s="22" t="s">
        <v>262</v>
      </c>
      <c r="C25" s="22" t="s">
        <v>104</v>
      </c>
      <c r="D25" s="22">
        <v>1</v>
      </c>
      <c r="E25" s="22" t="s">
        <v>481</v>
      </c>
      <c r="F25" s="22" t="s">
        <v>472</v>
      </c>
      <c r="G25" s="22" t="s">
        <v>426</v>
      </c>
      <c r="H25" s="22" t="s">
        <v>95</v>
      </c>
      <c r="I25" s="22" t="s">
        <v>38</v>
      </c>
      <c r="J25" s="22" t="s">
        <v>38</v>
      </c>
      <c r="K25" s="22" t="s">
        <v>421</v>
      </c>
      <c r="L25" s="22" t="s">
        <v>429</v>
      </c>
      <c r="M25" s="22" t="s">
        <v>429</v>
      </c>
      <c r="N25" s="22" t="s">
        <v>37</v>
      </c>
      <c r="O25" s="22" t="s">
        <v>433</v>
      </c>
      <c r="P25" s="22" t="s">
        <v>38</v>
      </c>
      <c r="Q25" s="22" t="s">
        <v>38</v>
      </c>
      <c r="R25" s="22" t="s">
        <v>38</v>
      </c>
      <c r="S25" s="22">
        <v>3</v>
      </c>
      <c r="T25" s="22" t="s">
        <v>6</v>
      </c>
      <c r="U25" s="22" t="s">
        <v>480</v>
      </c>
    </row>
    <row r="26" spans="1:21" x14ac:dyDescent="0.25">
      <c r="A26" s="22" t="s">
        <v>758</v>
      </c>
      <c r="B26" s="22" t="s">
        <v>479</v>
      </c>
      <c r="C26" s="22" t="s">
        <v>105</v>
      </c>
      <c r="D26" s="22">
        <v>1</v>
      </c>
      <c r="E26" s="22" t="s">
        <v>435</v>
      </c>
      <c r="F26" s="22" t="s">
        <v>472</v>
      </c>
      <c r="G26" s="22" t="s">
        <v>426</v>
      </c>
      <c r="H26" s="22" t="s">
        <v>95</v>
      </c>
      <c r="I26" s="22" t="s">
        <v>38</v>
      </c>
      <c r="J26" s="22" t="s">
        <v>38</v>
      </c>
      <c r="K26" s="22" t="s">
        <v>421</v>
      </c>
      <c r="L26" s="22" t="s">
        <v>425</v>
      </c>
      <c r="M26" s="22" t="s">
        <v>425</v>
      </c>
      <c r="N26" s="22" t="s">
        <v>37</v>
      </c>
      <c r="O26" s="22" t="s">
        <v>433</v>
      </c>
      <c r="P26" s="22" t="s">
        <v>38</v>
      </c>
      <c r="Q26" s="22" t="s">
        <v>38</v>
      </c>
      <c r="R26" s="22" t="s">
        <v>38</v>
      </c>
      <c r="S26" s="22">
        <v>2</v>
      </c>
      <c r="T26" s="22" t="s">
        <v>6</v>
      </c>
      <c r="U26" s="22" t="s">
        <v>716</v>
      </c>
    </row>
    <row r="27" spans="1:21" x14ac:dyDescent="0.25">
      <c r="A27" s="22" t="s">
        <v>758</v>
      </c>
      <c r="B27" s="22" t="s">
        <v>206</v>
      </c>
      <c r="C27" s="22" t="s">
        <v>100</v>
      </c>
      <c r="D27" s="22">
        <v>1</v>
      </c>
      <c r="E27" s="22" t="s">
        <v>477</v>
      </c>
      <c r="F27" s="22" t="s">
        <v>476</v>
      </c>
      <c r="G27" s="22" t="s">
        <v>39</v>
      </c>
      <c r="H27" s="22" t="s">
        <v>95</v>
      </c>
      <c r="I27" s="22" t="s">
        <v>38</v>
      </c>
      <c r="J27" s="22" t="s">
        <v>38</v>
      </c>
      <c r="K27" s="22" t="s">
        <v>475</v>
      </c>
      <c r="L27" s="22" t="s">
        <v>425</v>
      </c>
      <c r="M27" s="22" t="s">
        <v>425</v>
      </c>
      <c r="N27" s="22" t="s">
        <v>37</v>
      </c>
      <c r="O27" s="22" t="s">
        <v>745</v>
      </c>
      <c r="P27" s="22" t="s">
        <v>38</v>
      </c>
      <c r="Q27" s="22" t="s">
        <v>38</v>
      </c>
      <c r="R27" s="22" t="s">
        <v>38</v>
      </c>
      <c r="S27" s="22">
        <v>26</v>
      </c>
      <c r="T27" s="22" t="s">
        <v>478</v>
      </c>
      <c r="U27" s="22" t="s">
        <v>474</v>
      </c>
    </row>
    <row r="28" spans="1:21" x14ac:dyDescent="0.25">
      <c r="A28" s="22" t="s">
        <v>758</v>
      </c>
      <c r="B28" s="22" t="s">
        <v>206</v>
      </c>
      <c r="C28" s="22" t="s">
        <v>100</v>
      </c>
      <c r="D28" s="22">
        <v>2</v>
      </c>
      <c r="E28" s="22" t="s">
        <v>477</v>
      </c>
      <c r="F28" s="22" t="s">
        <v>476</v>
      </c>
      <c r="G28" s="22" t="s">
        <v>39</v>
      </c>
      <c r="H28" s="22" t="s">
        <v>95</v>
      </c>
      <c r="I28" s="22" t="s">
        <v>38</v>
      </c>
      <c r="J28" s="22" t="s">
        <v>38</v>
      </c>
      <c r="K28" s="22" t="s">
        <v>475</v>
      </c>
      <c r="L28" s="22" t="s">
        <v>425</v>
      </c>
      <c r="M28" s="22" t="s">
        <v>425</v>
      </c>
      <c r="N28" s="22" t="s">
        <v>37</v>
      </c>
      <c r="O28" s="22" t="s">
        <v>745</v>
      </c>
      <c r="P28" s="22" t="s">
        <v>38</v>
      </c>
      <c r="Q28" s="22" t="s">
        <v>38</v>
      </c>
      <c r="R28" s="22" t="s">
        <v>38</v>
      </c>
      <c r="S28" s="22">
        <v>26</v>
      </c>
      <c r="T28" s="22" t="s">
        <v>604</v>
      </c>
      <c r="U28" s="22" t="s">
        <v>474</v>
      </c>
    </row>
    <row r="29" spans="1:21" x14ac:dyDescent="0.25">
      <c r="A29" s="22" t="s">
        <v>758</v>
      </c>
      <c r="B29" s="22" t="s">
        <v>401</v>
      </c>
      <c r="C29" s="22" t="s">
        <v>107</v>
      </c>
      <c r="D29" s="22">
        <v>1</v>
      </c>
      <c r="E29" s="22" t="s">
        <v>470</v>
      </c>
      <c r="F29" s="22" t="s">
        <v>469</v>
      </c>
      <c r="G29" s="22" t="s">
        <v>39</v>
      </c>
      <c r="H29" s="22" t="s">
        <v>95</v>
      </c>
      <c r="I29" s="22" t="s">
        <v>38</v>
      </c>
      <c r="J29" s="22" t="s">
        <v>38</v>
      </c>
      <c r="K29" s="22" t="s">
        <v>421</v>
      </c>
      <c r="L29" s="22" t="s">
        <v>425</v>
      </c>
      <c r="M29" s="22" t="s">
        <v>425</v>
      </c>
      <c r="N29" s="22" t="s">
        <v>37</v>
      </c>
      <c r="O29" s="22" t="s">
        <v>746</v>
      </c>
      <c r="P29" s="22" t="s">
        <v>38</v>
      </c>
      <c r="Q29" s="22" t="s">
        <v>38</v>
      </c>
      <c r="R29" s="22" t="s">
        <v>38</v>
      </c>
      <c r="S29" s="22">
        <v>2</v>
      </c>
      <c r="T29" s="22" t="s">
        <v>6</v>
      </c>
      <c r="U29" s="22" t="s">
        <v>6</v>
      </c>
    </row>
    <row r="30" spans="1:21" x14ac:dyDescent="0.25">
      <c r="A30" s="22" t="s">
        <v>758</v>
      </c>
      <c r="B30" s="22" t="s">
        <v>283</v>
      </c>
      <c r="C30" s="22" t="s">
        <v>109</v>
      </c>
      <c r="D30" s="22">
        <v>1</v>
      </c>
      <c r="E30" s="22" t="s">
        <v>473</v>
      </c>
      <c r="F30" s="22" t="s">
        <v>472</v>
      </c>
      <c r="G30" s="22" t="s">
        <v>426</v>
      </c>
      <c r="H30" s="22" t="s">
        <v>38</v>
      </c>
      <c r="I30" s="22" t="s">
        <v>38</v>
      </c>
      <c r="J30" s="22" t="s">
        <v>38</v>
      </c>
      <c r="K30" s="22" t="s">
        <v>421</v>
      </c>
      <c r="L30" s="22" t="s">
        <v>471</v>
      </c>
      <c r="M30" s="22" t="s">
        <v>471</v>
      </c>
      <c r="N30" s="22" t="s">
        <v>37</v>
      </c>
      <c r="O30" s="22" t="s">
        <v>508</v>
      </c>
      <c r="P30" s="22" t="s">
        <v>735</v>
      </c>
      <c r="Q30" s="22" t="s">
        <v>739</v>
      </c>
      <c r="R30" s="22" t="s">
        <v>38</v>
      </c>
      <c r="S30" s="22">
        <v>1</v>
      </c>
      <c r="T30" s="22" t="s">
        <v>6</v>
      </c>
      <c r="U30" s="22" t="s">
        <v>624</v>
      </c>
    </row>
    <row r="31" spans="1:21" x14ac:dyDescent="0.25">
      <c r="A31" s="22" t="s">
        <v>758</v>
      </c>
      <c r="B31" s="22" t="s">
        <v>290</v>
      </c>
      <c r="C31" s="22" t="s">
        <v>106</v>
      </c>
      <c r="D31" s="22">
        <v>1</v>
      </c>
      <c r="E31" s="22" t="s">
        <v>470</v>
      </c>
      <c r="F31" s="22" t="s">
        <v>469</v>
      </c>
      <c r="G31" s="22" t="s">
        <v>39</v>
      </c>
      <c r="H31" s="22" t="s">
        <v>95</v>
      </c>
      <c r="I31" s="22" t="s">
        <v>38</v>
      </c>
      <c r="J31" s="22" t="s">
        <v>38</v>
      </c>
      <c r="K31" s="22" t="s">
        <v>421</v>
      </c>
      <c r="L31" s="22" t="s">
        <v>425</v>
      </c>
      <c r="M31" s="22" t="s">
        <v>425</v>
      </c>
      <c r="N31" s="22" t="s">
        <v>37</v>
      </c>
      <c r="O31" s="22" t="s">
        <v>747</v>
      </c>
      <c r="P31" s="22" t="s">
        <v>38</v>
      </c>
      <c r="Q31" s="22" t="s">
        <v>38</v>
      </c>
      <c r="R31" s="22" t="s">
        <v>38</v>
      </c>
      <c r="S31" s="22">
        <v>30</v>
      </c>
      <c r="T31" s="22" t="s">
        <v>6</v>
      </c>
      <c r="U31" s="22" t="s">
        <v>619</v>
      </c>
    </row>
    <row r="32" spans="1:21" x14ac:dyDescent="0.25">
      <c r="A32" s="22" t="s">
        <v>758</v>
      </c>
      <c r="B32" s="22" t="s">
        <v>306</v>
      </c>
      <c r="C32" s="22" t="s">
        <v>305</v>
      </c>
      <c r="D32" s="22">
        <v>1</v>
      </c>
      <c r="E32" s="22" t="s">
        <v>431</v>
      </c>
      <c r="F32" s="22" t="s">
        <v>468</v>
      </c>
      <c r="G32" s="22" t="s">
        <v>39</v>
      </c>
      <c r="H32" s="22" t="s">
        <v>95</v>
      </c>
      <c r="I32" s="22">
        <v>7</v>
      </c>
      <c r="J32" s="22">
        <v>7</v>
      </c>
      <c r="K32" s="22" t="s">
        <v>421</v>
      </c>
      <c r="L32" s="22" t="s">
        <v>429</v>
      </c>
      <c r="M32" s="22" t="s">
        <v>429</v>
      </c>
      <c r="N32" s="22" t="s">
        <v>37</v>
      </c>
      <c r="O32" s="22" t="s">
        <v>748</v>
      </c>
      <c r="P32" s="22" t="s">
        <v>38</v>
      </c>
      <c r="Q32" s="22" t="s">
        <v>38</v>
      </c>
      <c r="R32" s="22" t="s">
        <v>38</v>
      </c>
      <c r="S32" s="22">
        <v>7</v>
      </c>
      <c r="T32" s="22" t="s">
        <v>6</v>
      </c>
      <c r="U32" s="22" t="s">
        <v>626</v>
      </c>
    </row>
    <row r="33" spans="1:21" x14ac:dyDescent="0.25">
      <c r="A33" s="22" t="s">
        <v>758</v>
      </c>
      <c r="B33" s="22" t="s">
        <v>309</v>
      </c>
      <c r="C33" s="22" t="s">
        <v>108</v>
      </c>
      <c r="D33" s="22">
        <v>1</v>
      </c>
      <c r="E33" s="22" t="s">
        <v>438</v>
      </c>
      <c r="F33" s="22" t="s">
        <v>447</v>
      </c>
      <c r="G33" s="22" t="s">
        <v>39</v>
      </c>
      <c r="H33" s="22" t="s">
        <v>38</v>
      </c>
      <c r="I33" s="22" t="s">
        <v>38</v>
      </c>
      <c r="J33" s="22" t="s">
        <v>38</v>
      </c>
      <c r="K33" s="22" t="s">
        <v>421</v>
      </c>
      <c r="L33" s="22" t="s">
        <v>440</v>
      </c>
      <c r="M33" s="22" t="s">
        <v>440</v>
      </c>
      <c r="N33" s="22" t="s">
        <v>37</v>
      </c>
      <c r="O33" s="22" t="s">
        <v>310</v>
      </c>
      <c r="P33" s="22" t="s">
        <v>38</v>
      </c>
      <c r="Q33" s="22" t="s">
        <v>38</v>
      </c>
      <c r="R33" s="22" t="s">
        <v>38</v>
      </c>
      <c r="S33" s="22">
        <v>1</v>
      </c>
      <c r="T33" s="22" t="s">
        <v>6</v>
      </c>
      <c r="U33" s="22" t="s">
        <v>467</v>
      </c>
    </row>
    <row r="34" spans="1:21" x14ac:dyDescent="0.25">
      <c r="A34" s="22" t="s">
        <v>758</v>
      </c>
      <c r="B34" s="22" t="s">
        <v>309</v>
      </c>
      <c r="C34" s="22" t="s">
        <v>108</v>
      </c>
      <c r="D34" s="22">
        <v>2</v>
      </c>
      <c r="E34" s="22" t="s">
        <v>450</v>
      </c>
      <c r="F34" s="22" t="s">
        <v>447</v>
      </c>
      <c r="G34" s="22" t="s">
        <v>39</v>
      </c>
      <c r="H34" s="22" t="s">
        <v>38</v>
      </c>
      <c r="I34" s="22" t="s">
        <v>38</v>
      </c>
      <c r="J34" s="22" t="s">
        <v>38</v>
      </c>
      <c r="K34" s="22" t="s">
        <v>421</v>
      </c>
      <c r="L34" s="22" t="s">
        <v>425</v>
      </c>
      <c r="M34" s="22" t="s">
        <v>425</v>
      </c>
      <c r="N34" s="22" t="s">
        <v>37</v>
      </c>
      <c r="O34" s="22" t="s">
        <v>310</v>
      </c>
      <c r="P34" s="22" t="s">
        <v>38</v>
      </c>
      <c r="Q34" s="22" t="s">
        <v>38</v>
      </c>
      <c r="R34" s="22" t="s">
        <v>38</v>
      </c>
      <c r="S34" s="22">
        <v>1</v>
      </c>
      <c r="T34" s="22" t="s">
        <v>6</v>
      </c>
      <c r="U34" s="22" t="s">
        <v>466</v>
      </c>
    </row>
    <row r="35" spans="1:21" x14ac:dyDescent="0.25">
      <c r="A35" s="22" t="s">
        <v>758</v>
      </c>
      <c r="B35" s="22" t="s">
        <v>340</v>
      </c>
      <c r="C35" s="22" t="s">
        <v>115</v>
      </c>
      <c r="D35" s="22">
        <v>1</v>
      </c>
      <c r="E35" s="22" t="s">
        <v>438</v>
      </c>
      <c r="F35" s="22" t="s">
        <v>437</v>
      </c>
      <c r="G35" s="22" t="s">
        <v>39</v>
      </c>
      <c r="H35" s="22" t="s">
        <v>95</v>
      </c>
      <c r="I35" s="22" t="s">
        <v>38</v>
      </c>
      <c r="J35" s="22" t="s">
        <v>38</v>
      </c>
      <c r="K35" s="22" t="s">
        <v>421</v>
      </c>
      <c r="L35" s="22" t="s">
        <v>425</v>
      </c>
      <c r="M35" s="22" t="s">
        <v>429</v>
      </c>
      <c r="N35" s="22" t="s">
        <v>37</v>
      </c>
      <c r="O35" s="22" t="s">
        <v>446</v>
      </c>
      <c r="P35" s="22" t="s">
        <v>38</v>
      </c>
      <c r="Q35" s="22" t="s">
        <v>38</v>
      </c>
      <c r="R35" s="22" t="s">
        <v>38</v>
      </c>
      <c r="S35" s="22">
        <f>(130-2)*7</f>
        <v>896</v>
      </c>
      <c r="T35" s="22" t="s">
        <v>6</v>
      </c>
      <c r="U35" s="22" t="s">
        <v>465</v>
      </c>
    </row>
    <row r="36" spans="1:21" x14ac:dyDescent="0.25">
      <c r="A36" s="22" t="s">
        <v>758</v>
      </c>
      <c r="B36" s="22" t="s">
        <v>347</v>
      </c>
      <c r="C36" s="31" t="s">
        <v>110</v>
      </c>
      <c r="D36" s="22">
        <v>1</v>
      </c>
      <c r="E36" s="22" t="s">
        <v>435</v>
      </c>
      <c r="F36" s="22" t="s">
        <v>464</v>
      </c>
      <c r="G36" s="22" t="s">
        <v>39</v>
      </c>
      <c r="H36" s="22" t="s">
        <v>95</v>
      </c>
      <c r="I36" s="22" t="s">
        <v>38</v>
      </c>
      <c r="J36" s="22" t="s">
        <v>38</v>
      </c>
      <c r="K36" s="22" t="s">
        <v>421</v>
      </c>
      <c r="L36" s="22" t="s">
        <v>425</v>
      </c>
      <c r="M36" s="22" t="s">
        <v>425</v>
      </c>
      <c r="N36" s="22" t="s">
        <v>37</v>
      </c>
      <c r="O36" s="22" t="s">
        <v>749</v>
      </c>
      <c r="P36" s="22" t="s">
        <v>38</v>
      </c>
      <c r="Q36" s="22" t="s">
        <v>38</v>
      </c>
      <c r="R36" s="22" t="s">
        <v>38</v>
      </c>
      <c r="S36" s="24">
        <v>14</v>
      </c>
      <c r="T36" s="22" t="s">
        <v>6</v>
      </c>
      <c r="U36" s="22" t="s">
        <v>463</v>
      </c>
    </row>
    <row r="37" spans="1:21" x14ac:dyDescent="0.25">
      <c r="A37" s="22" t="s">
        <v>758</v>
      </c>
      <c r="B37" s="22" t="s">
        <v>351</v>
      </c>
      <c r="C37" s="22" t="s">
        <v>122</v>
      </c>
      <c r="D37" s="22">
        <v>1</v>
      </c>
      <c r="E37" s="22" t="s">
        <v>462</v>
      </c>
      <c r="F37" s="22" t="s">
        <v>461</v>
      </c>
      <c r="G37" s="22" t="s">
        <v>39</v>
      </c>
      <c r="H37" s="22" t="s">
        <v>95</v>
      </c>
      <c r="I37" s="22">
        <v>4</v>
      </c>
      <c r="J37" s="22">
        <v>4</v>
      </c>
      <c r="K37" s="22" t="s">
        <v>421</v>
      </c>
      <c r="L37" s="22" t="s">
        <v>425</v>
      </c>
      <c r="M37" s="22" t="s">
        <v>425</v>
      </c>
      <c r="N37" s="22" t="s">
        <v>37</v>
      </c>
      <c r="O37" s="22" t="s">
        <v>460</v>
      </c>
      <c r="P37" s="22" t="s">
        <v>38</v>
      </c>
      <c r="Q37" s="22" t="s">
        <v>38</v>
      </c>
      <c r="R37" s="22" t="s">
        <v>38</v>
      </c>
      <c r="S37" s="22">
        <v>0</v>
      </c>
      <c r="T37" s="22" t="s">
        <v>6</v>
      </c>
      <c r="U37" s="22" t="s">
        <v>459</v>
      </c>
    </row>
    <row r="38" spans="1:21" x14ac:dyDescent="0.25">
      <c r="A38" s="22" t="s">
        <v>758</v>
      </c>
      <c r="B38" s="22" t="s">
        <v>354</v>
      </c>
      <c r="C38" s="22" t="s">
        <v>112</v>
      </c>
      <c r="D38" s="22">
        <v>1</v>
      </c>
      <c r="E38" s="22" t="s">
        <v>438</v>
      </c>
      <c r="F38" s="22" t="s">
        <v>437</v>
      </c>
      <c r="G38" s="22" t="s">
        <v>39</v>
      </c>
      <c r="H38" s="22" t="s">
        <v>95</v>
      </c>
      <c r="I38" s="22" t="s">
        <v>38</v>
      </c>
      <c r="J38" s="22" t="s">
        <v>38</v>
      </c>
      <c r="K38" s="22" t="s">
        <v>421</v>
      </c>
      <c r="L38" s="22" t="s">
        <v>440</v>
      </c>
      <c r="M38" s="22" t="s">
        <v>425</v>
      </c>
      <c r="N38" s="22" t="s">
        <v>37</v>
      </c>
      <c r="O38" s="22" t="s">
        <v>388</v>
      </c>
      <c r="P38" s="22" t="s">
        <v>38</v>
      </c>
      <c r="Q38" s="22" t="s">
        <v>38</v>
      </c>
      <c r="R38" s="22">
        <v>12</v>
      </c>
      <c r="S38" s="22">
        <v>71</v>
      </c>
      <c r="T38" s="22" t="s">
        <v>587</v>
      </c>
      <c r="U38" s="22" t="s">
        <v>653</v>
      </c>
    </row>
    <row r="39" spans="1:21" x14ac:dyDescent="0.25">
      <c r="A39" s="22" t="s">
        <v>758</v>
      </c>
      <c r="B39" s="22" t="s">
        <v>364</v>
      </c>
      <c r="C39" s="22" t="s">
        <v>113</v>
      </c>
      <c r="D39" s="22">
        <v>1</v>
      </c>
      <c r="E39" s="22" t="s">
        <v>435</v>
      </c>
      <c r="F39" s="22" t="s">
        <v>457</v>
      </c>
      <c r="G39" s="22" t="s">
        <v>39</v>
      </c>
      <c r="H39" s="22" t="s">
        <v>95</v>
      </c>
      <c r="I39" s="22" t="s">
        <v>38</v>
      </c>
      <c r="J39" s="22" t="s">
        <v>38</v>
      </c>
      <c r="K39" s="22" t="s">
        <v>421</v>
      </c>
      <c r="L39" s="22" t="s">
        <v>425</v>
      </c>
      <c r="M39" s="22" t="s">
        <v>425</v>
      </c>
      <c r="N39" s="22" t="s">
        <v>37</v>
      </c>
      <c r="O39" s="22" t="s">
        <v>433</v>
      </c>
      <c r="P39" s="22" t="s">
        <v>38</v>
      </c>
      <c r="Q39" s="22" t="s">
        <v>739</v>
      </c>
      <c r="R39" s="22" t="s">
        <v>38</v>
      </c>
      <c r="S39" s="22">
        <v>4</v>
      </c>
      <c r="T39" s="22" t="s">
        <v>6</v>
      </c>
      <c r="U39" s="22" t="s">
        <v>456</v>
      </c>
    </row>
    <row r="40" spans="1:21" x14ac:dyDescent="0.25">
      <c r="A40" s="22" t="s">
        <v>758</v>
      </c>
      <c r="B40" s="22" t="s">
        <v>367</v>
      </c>
      <c r="C40" s="22" t="s">
        <v>114</v>
      </c>
      <c r="D40" s="22">
        <v>1</v>
      </c>
      <c r="E40" s="22" t="s">
        <v>455</v>
      </c>
      <c r="F40" s="22" t="s">
        <v>454</v>
      </c>
      <c r="G40" s="22" t="s">
        <v>38</v>
      </c>
      <c r="H40" s="22" t="s">
        <v>95</v>
      </c>
      <c r="I40" s="22" t="s">
        <v>38</v>
      </c>
      <c r="J40" s="22" t="s">
        <v>38</v>
      </c>
      <c r="K40" s="22" t="s">
        <v>421</v>
      </c>
      <c r="L40" s="22" t="s">
        <v>425</v>
      </c>
      <c r="M40" s="22" t="s">
        <v>425</v>
      </c>
      <c r="N40" s="22" t="s">
        <v>37</v>
      </c>
      <c r="O40" s="22" t="s">
        <v>453</v>
      </c>
      <c r="P40" s="22" t="s">
        <v>38</v>
      </c>
      <c r="Q40" s="22" t="s">
        <v>38</v>
      </c>
      <c r="R40" s="22" t="s">
        <v>38</v>
      </c>
      <c r="S40" s="22">
        <v>180</v>
      </c>
      <c r="T40" s="22" t="s">
        <v>452</v>
      </c>
      <c r="U40" s="22" t="s">
        <v>451</v>
      </c>
    </row>
    <row r="41" spans="1:21" x14ac:dyDescent="0.25">
      <c r="A41" s="22" t="s">
        <v>758</v>
      </c>
      <c r="B41" s="22" t="s">
        <v>372</v>
      </c>
      <c r="C41" s="22" t="s">
        <v>116</v>
      </c>
      <c r="D41" s="22">
        <v>1</v>
      </c>
      <c r="E41" s="22" t="s">
        <v>450</v>
      </c>
      <c r="F41" s="22" t="s">
        <v>447</v>
      </c>
      <c r="G41" s="22" t="s">
        <v>39</v>
      </c>
      <c r="H41" s="22" t="s">
        <v>38</v>
      </c>
      <c r="I41" s="22" t="s">
        <v>38</v>
      </c>
      <c r="J41" s="22" t="s">
        <v>38</v>
      </c>
      <c r="K41" s="22" t="s">
        <v>421</v>
      </c>
      <c r="L41" s="22" t="s">
        <v>440</v>
      </c>
      <c r="M41" s="22" t="s">
        <v>440</v>
      </c>
      <c r="N41" s="22" t="s">
        <v>37</v>
      </c>
      <c r="O41" s="22" t="s">
        <v>448</v>
      </c>
      <c r="P41" s="22" t="s">
        <v>38</v>
      </c>
      <c r="Q41" s="22" t="s">
        <v>38</v>
      </c>
      <c r="R41" s="22" t="s">
        <v>38</v>
      </c>
      <c r="S41" s="22">
        <v>1</v>
      </c>
      <c r="T41" s="22" t="s">
        <v>6</v>
      </c>
      <c r="U41" s="22" t="s">
        <v>449</v>
      </c>
    </row>
    <row r="42" spans="1:21" x14ac:dyDescent="0.25">
      <c r="A42" s="22" t="s">
        <v>758</v>
      </c>
      <c r="B42" s="22" t="s">
        <v>377</v>
      </c>
      <c r="C42" s="22" t="s">
        <v>118</v>
      </c>
      <c r="D42" s="22">
        <v>1</v>
      </c>
      <c r="E42" s="22" t="s">
        <v>438</v>
      </c>
      <c r="F42" s="22" t="s">
        <v>437</v>
      </c>
      <c r="G42" s="22" t="s">
        <v>39</v>
      </c>
      <c r="H42" s="22" t="s">
        <v>95</v>
      </c>
      <c r="I42" s="22" t="s">
        <v>38</v>
      </c>
      <c r="J42" s="22" t="s">
        <v>38</v>
      </c>
      <c r="K42" s="22" t="s">
        <v>421</v>
      </c>
      <c r="L42" s="22" t="s">
        <v>429</v>
      </c>
      <c r="M42" s="22" t="s">
        <v>429</v>
      </c>
      <c r="N42" s="22" t="s">
        <v>37</v>
      </c>
      <c r="O42" s="22" t="s">
        <v>448</v>
      </c>
      <c r="P42" s="22" t="s">
        <v>38</v>
      </c>
      <c r="Q42" s="22" t="s">
        <v>750</v>
      </c>
      <c r="R42" s="22" t="s">
        <v>38</v>
      </c>
      <c r="S42" s="22">
        <v>1</v>
      </c>
      <c r="T42" s="22" t="s">
        <v>6</v>
      </c>
      <c r="U42" s="22" t="s">
        <v>6</v>
      </c>
    </row>
    <row r="43" spans="1:21" x14ac:dyDescent="0.25">
      <c r="A43" s="22" t="s">
        <v>758</v>
      </c>
      <c r="B43" s="22" t="s">
        <v>377</v>
      </c>
      <c r="C43" s="22" t="s">
        <v>118</v>
      </c>
      <c r="D43" s="22">
        <v>2</v>
      </c>
      <c r="E43" s="22" t="s">
        <v>438</v>
      </c>
      <c r="F43" s="22" t="s">
        <v>437</v>
      </c>
      <c r="G43" s="22" t="s">
        <v>39</v>
      </c>
      <c r="H43" s="22" t="s">
        <v>95</v>
      </c>
      <c r="I43" s="22" t="s">
        <v>38</v>
      </c>
      <c r="J43" s="22" t="s">
        <v>38</v>
      </c>
      <c r="K43" s="22" t="s">
        <v>421</v>
      </c>
      <c r="L43" s="22" t="s">
        <v>429</v>
      </c>
      <c r="M43" s="22" t="s">
        <v>429</v>
      </c>
      <c r="N43" s="22" t="s">
        <v>37</v>
      </c>
      <c r="O43" s="22" t="s">
        <v>196</v>
      </c>
      <c r="P43" s="22" t="s">
        <v>38</v>
      </c>
      <c r="Q43" s="22" t="s">
        <v>739</v>
      </c>
      <c r="R43" s="22" t="s">
        <v>38</v>
      </c>
      <c r="S43" s="22">
        <v>1</v>
      </c>
      <c r="T43" s="22" t="s">
        <v>6</v>
      </c>
      <c r="U43" s="22" t="s">
        <v>6</v>
      </c>
    </row>
    <row r="44" spans="1:21" x14ac:dyDescent="0.25">
      <c r="A44" s="22" t="s">
        <v>758</v>
      </c>
      <c r="B44" s="22" t="s">
        <v>385</v>
      </c>
      <c r="C44" s="22" t="s">
        <v>117</v>
      </c>
      <c r="D44" s="22">
        <v>1</v>
      </c>
      <c r="E44" s="22" t="s">
        <v>438</v>
      </c>
      <c r="F44" s="22" t="s">
        <v>447</v>
      </c>
      <c r="G44" s="22" t="s">
        <v>39</v>
      </c>
      <c r="H44" s="22" t="s">
        <v>95</v>
      </c>
      <c r="I44" s="22" t="s">
        <v>38</v>
      </c>
      <c r="J44" s="22" t="s">
        <v>38</v>
      </c>
      <c r="K44" s="22" t="s">
        <v>421</v>
      </c>
      <c r="L44" s="22" t="s">
        <v>425</v>
      </c>
      <c r="M44" s="22" t="s">
        <v>425</v>
      </c>
      <c r="N44" s="22" t="s">
        <v>37</v>
      </c>
      <c r="O44" s="22" t="s">
        <v>446</v>
      </c>
      <c r="P44" s="22" t="s">
        <v>38</v>
      </c>
      <c r="Q44" s="22" t="s">
        <v>38</v>
      </c>
      <c r="R44" s="22" t="s">
        <v>38</v>
      </c>
      <c r="S44" s="22">
        <v>1</v>
      </c>
      <c r="T44" s="22" t="s">
        <v>6</v>
      </c>
      <c r="U44" s="22" t="s">
        <v>620</v>
      </c>
    </row>
    <row r="45" spans="1:21" x14ac:dyDescent="0.25">
      <c r="A45" s="22" t="s">
        <v>758</v>
      </c>
      <c r="B45" s="22" t="s">
        <v>387</v>
      </c>
      <c r="C45" s="22" t="s">
        <v>119</v>
      </c>
      <c r="D45" s="22">
        <v>1</v>
      </c>
      <c r="E45" s="22" t="s">
        <v>438</v>
      </c>
      <c r="F45" s="22" t="s">
        <v>437</v>
      </c>
      <c r="G45" s="22" t="s">
        <v>39</v>
      </c>
      <c r="H45" s="22" t="s">
        <v>95</v>
      </c>
      <c r="I45" s="22" t="s">
        <v>38</v>
      </c>
      <c r="J45" s="22" t="s">
        <v>38</v>
      </c>
      <c r="K45" s="22" t="s">
        <v>421</v>
      </c>
      <c r="L45" s="22" t="s">
        <v>440</v>
      </c>
      <c r="M45" s="22" t="s">
        <v>440</v>
      </c>
      <c r="N45" s="22" t="s">
        <v>37</v>
      </c>
      <c r="O45" s="22" t="s">
        <v>388</v>
      </c>
      <c r="P45" s="22" t="s">
        <v>38</v>
      </c>
      <c r="Q45" s="22" t="s">
        <v>38</v>
      </c>
      <c r="R45" s="22" t="s">
        <v>38</v>
      </c>
      <c r="S45" s="22">
        <v>1</v>
      </c>
      <c r="T45" s="22" t="s">
        <v>445</v>
      </c>
      <c r="U45" s="22" t="s">
        <v>444</v>
      </c>
    </row>
    <row r="46" spans="1:21" x14ac:dyDescent="0.25">
      <c r="A46" s="22" t="s">
        <v>758</v>
      </c>
      <c r="B46" s="22" t="s">
        <v>387</v>
      </c>
      <c r="C46" s="22" t="s">
        <v>119</v>
      </c>
      <c r="D46" s="22">
        <v>2</v>
      </c>
      <c r="E46" s="22" t="s">
        <v>438</v>
      </c>
      <c r="F46" s="22" t="s">
        <v>437</v>
      </c>
      <c r="G46" s="22" t="s">
        <v>39</v>
      </c>
      <c r="H46" s="22" t="s">
        <v>95</v>
      </c>
      <c r="I46" s="22" t="s">
        <v>38</v>
      </c>
      <c r="J46" s="22" t="s">
        <v>38</v>
      </c>
      <c r="K46" s="22" t="s">
        <v>421</v>
      </c>
      <c r="L46" s="22" t="s">
        <v>440</v>
      </c>
      <c r="M46" s="22" t="s">
        <v>440</v>
      </c>
      <c r="N46" s="22" t="s">
        <v>37</v>
      </c>
      <c r="O46" s="22" t="s">
        <v>388</v>
      </c>
      <c r="P46" s="22" t="s">
        <v>38</v>
      </c>
      <c r="Q46" s="22" t="s">
        <v>38</v>
      </c>
      <c r="R46" s="22" t="s">
        <v>38</v>
      </c>
      <c r="S46" s="22">
        <v>1</v>
      </c>
      <c r="T46" s="22" t="s">
        <v>443</v>
      </c>
      <c r="U46" s="22" t="s">
        <v>442</v>
      </c>
    </row>
    <row r="47" spans="1:21" x14ac:dyDescent="0.25">
      <c r="A47" s="22" t="s">
        <v>758</v>
      </c>
      <c r="B47" s="22" t="s">
        <v>387</v>
      </c>
      <c r="C47" s="22" t="s">
        <v>119</v>
      </c>
      <c r="D47" s="22">
        <v>3</v>
      </c>
      <c r="E47" s="22" t="s">
        <v>438</v>
      </c>
      <c r="F47" s="22" t="s">
        <v>437</v>
      </c>
      <c r="G47" s="22" t="s">
        <v>39</v>
      </c>
      <c r="H47" s="22" t="s">
        <v>95</v>
      </c>
      <c r="I47" s="22" t="s">
        <v>38</v>
      </c>
      <c r="J47" s="22" t="s">
        <v>38</v>
      </c>
      <c r="K47" s="22" t="s">
        <v>421</v>
      </c>
      <c r="L47" s="22" t="s">
        <v>440</v>
      </c>
      <c r="M47" s="22" t="s">
        <v>425</v>
      </c>
      <c r="N47" s="22" t="s">
        <v>37</v>
      </c>
      <c r="O47" s="22" t="s">
        <v>388</v>
      </c>
      <c r="P47" s="22" t="s">
        <v>38</v>
      </c>
      <c r="Q47" s="22" t="s">
        <v>38</v>
      </c>
      <c r="R47" s="22" t="s">
        <v>38</v>
      </c>
      <c r="S47" s="22">
        <f>84-6</f>
        <v>78</v>
      </c>
      <c r="T47" s="22" t="s">
        <v>607</v>
      </c>
      <c r="U47" s="22" t="s">
        <v>441</v>
      </c>
    </row>
    <row r="48" spans="1:21" x14ac:dyDescent="0.25">
      <c r="A48" s="22" t="s">
        <v>758</v>
      </c>
      <c r="B48" s="22" t="s">
        <v>387</v>
      </c>
      <c r="C48" s="22" t="s">
        <v>119</v>
      </c>
      <c r="D48" s="22">
        <v>4</v>
      </c>
      <c r="E48" s="22" t="s">
        <v>438</v>
      </c>
      <c r="F48" s="22" t="s">
        <v>437</v>
      </c>
      <c r="G48" s="22" t="s">
        <v>39</v>
      </c>
      <c r="H48" s="22" t="s">
        <v>95</v>
      </c>
      <c r="I48" s="22" t="s">
        <v>38</v>
      </c>
      <c r="J48" s="22" t="s">
        <v>38</v>
      </c>
      <c r="K48" s="22" t="s">
        <v>421</v>
      </c>
      <c r="L48" s="22" t="s">
        <v>440</v>
      </c>
      <c r="M48" s="22" t="s">
        <v>425</v>
      </c>
      <c r="N48" s="22" t="s">
        <v>37</v>
      </c>
      <c r="O48" s="22" t="s">
        <v>388</v>
      </c>
      <c r="P48" s="22" t="s">
        <v>38</v>
      </c>
      <c r="Q48" s="22" t="s">
        <v>38</v>
      </c>
      <c r="R48" s="22" t="s">
        <v>38</v>
      </c>
      <c r="S48" s="22">
        <f>84-6</f>
        <v>78</v>
      </c>
      <c r="T48" s="22" t="s">
        <v>608</v>
      </c>
      <c r="U48" s="22" t="s">
        <v>439</v>
      </c>
    </row>
    <row r="49" spans="1:21" x14ac:dyDescent="0.25">
      <c r="A49" s="22" t="s">
        <v>758</v>
      </c>
      <c r="B49" s="22" t="s">
        <v>397</v>
      </c>
      <c r="C49" s="22" t="s">
        <v>120</v>
      </c>
      <c r="D49" s="22">
        <v>1</v>
      </c>
      <c r="E49" s="22" t="s">
        <v>438</v>
      </c>
      <c r="F49" s="22" t="s">
        <v>437</v>
      </c>
      <c r="G49" s="22" t="s">
        <v>39</v>
      </c>
      <c r="H49" s="22" t="s">
        <v>95</v>
      </c>
      <c r="I49" s="22" t="s">
        <v>38</v>
      </c>
      <c r="J49" s="22" t="s">
        <v>38</v>
      </c>
      <c r="K49" s="22" t="s">
        <v>421</v>
      </c>
      <c r="L49" s="22" t="s">
        <v>429</v>
      </c>
      <c r="M49" s="22" t="s">
        <v>429</v>
      </c>
      <c r="N49" s="22" t="s">
        <v>37</v>
      </c>
      <c r="O49" s="22" t="s">
        <v>388</v>
      </c>
      <c r="P49" s="22" t="s">
        <v>38</v>
      </c>
      <c r="Q49" s="22" t="s">
        <v>38</v>
      </c>
      <c r="R49" s="22" t="s">
        <v>38</v>
      </c>
      <c r="S49" s="22">
        <v>4</v>
      </c>
      <c r="T49" s="22" t="s">
        <v>536</v>
      </c>
      <c r="U49" s="22" t="s">
        <v>537</v>
      </c>
    </row>
    <row r="50" spans="1:21" x14ac:dyDescent="0.25">
      <c r="A50" s="22" t="s">
        <v>758</v>
      </c>
      <c r="B50" s="22" t="s">
        <v>402</v>
      </c>
      <c r="C50" s="22" t="s">
        <v>123</v>
      </c>
      <c r="D50" s="22">
        <v>1</v>
      </c>
      <c r="E50" s="22" t="s">
        <v>435</v>
      </c>
      <c r="F50" s="22" t="s">
        <v>434</v>
      </c>
      <c r="G50" s="22" t="s">
        <v>39</v>
      </c>
      <c r="H50" s="22" t="s">
        <v>95</v>
      </c>
      <c r="I50" s="22" t="s">
        <v>38</v>
      </c>
      <c r="J50" s="22" t="s">
        <v>38</v>
      </c>
      <c r="K50" s="22" t="s">
        <v>421</v>
      </c>
      <c r="L50" s="22" t="s">
        <v>429</v>
      </c>
      <c r="M50" s="22" t="s">
        <v>429</v>
      </c>
      <c r="N50" s="22" t="s">
        <v>37</v>
      </c>
      <c r="O50" s="22" t="s">
        <v>436</v>
      </c>
      <c r="P50" s="22" t="s">
        <v>38</v>
      </c>
      <c r="Q50" s="22" t="s">
        <v>38</v>
      </c>
      <c r="R50" s="22" t="s">
        <v>38</v>
      </c>
      <c r="S50" s="22">
        <v>3</v>
      </c>
      <c r="T50" s="22" t="s">
        <v>6</v>
      </c>
      <c r="U50" s="22" t="s">
        <v>6</v>
      </c>
    </row>
    <row r="51" spans="1:21" x14ac:dyDescent="0.25">
      <c r="A51" s="22" t="s">
        <v>758</v>
      </c>
      <c r="B51" s="22" t="s">
        <v>405</v>
      </c>
      <c r="C51" s="22" t="s">
        <v>124</v>
      </c>
      <c r="D51" s="22">
        <v>1</v>
      </c>
      <c r="E51" s="22" t="s">
        <v>435</v>
      </c>
      <c r="F51" s="22" t="s">
        <v>434</v>
      </c>
      <c r="G51" s="22" t="s">
        <v>39</v>
      </c>
      <c r="H51" s="22" t="s">
        <v>95</v>
      </c>
      <c r="I51" s="22" t="s">
        <v>38</v>
      </c>
      <c r="J51" s="22" t="s">
        <v>38</v>
      </c>
      <c r="K51" s="22" t="s">
        <v>421</v>
      </c>
      <c r="L51" s="22" t="s">
        <v>429</v>
      </c>
      <c r="M51" s="22" t="s">
        <v>429</v>
      </c>
      <c r="N51" s="22" t="s">
        <v>37</v>
      </c>
      <c r="O51" s="22" t="s">
        <v>433</v>
      </c>
      <c r="P51" s="22" t="s">
        <v>38</v>
      </c>
      <c r="Q51" s="22" t="s">
        <v>38</v>
      </c>
      <c r="R51" s="22" t="s">
        <v>38</v>
      </c>
      <c r="S51" s="22">
        <v>3</v>
      </c>
      <c r="T51" s="22" t="s">
        <v>6</v>
      </c>
      <c r="U51" s="22" t="s">
        <v>432</v>
      </c>
    </row>
    <row r="52" spans="1:21" x14ac:dyDescent="0.25">
      <c r="A52" s="22" t="s">
        <v>758</v>
      </c>
      <c r="B52" s="22" t="s">
        <v>407</v>
      </c>
      <c r="C52" s="22" t="s">
        <v>125</v>
      </c>
      <c r="D52" s="22">
        <v>1</v>
      </c>
      <c r="E52" s="22" t="s">
        <v>431</v>
      </c>
      <c r="F52" s="22" t="s">
        <v>430</v>
      </c>
      <c r="G52" s="22" t="s">
        <v>39</v>
      </c>
      <c r="H52" s="22" t="s">
        <v>95</v>
      </c>
      <c r="I52" s="22" t="s">
        <v>38</v>
      </c>
      <c r="J52" s="22" t="s">
        <v>38</v>
      </c>
      <c r="K52" s="22" t="s">
        <v>421</v>
      </c>
      <c r="L52" s="22" t="s">
        <v>429</v>
      </c>
      <c r="M52" s="22" t="s">
        <v>429</v>
      </c>
      <c r="N52" s="22" t="s">
        <v>37</v>
      </c>
      <c r="O52" s="22" t="s">
        <v>38</v>
      </c>
      <c r="P52" s="22" t="s">
        <v>38</v>
      </c>
      <c r="Q52" s="22" t="s">
        <v>38</v>
      </c>
      <c r="R52" s="22" t="s">
        <v>38</v>
      </c>
      <c r="S52" s="22">
        <v>30</v>
      </c>
      <c r="T52" s="22" t="s">
        <v>6</v>
      </c>
      <c r="U52" s="22" t="s">
        <v>609</v>
      </c>
    </row>
    <row r="53" spans="1:21" x14ac:dyDescent="0.25">
      <c r="A53" s="22" t="s">
        <v>758</v>
      </c>
      <c r="B53" s="22" t="s">
        <v>407</v>
      </c>
      <c r="C53" s="22" t="s">
        <v>125</v>
      </c>
      <c r="D53" s="22">
        <v>2</v>
      </c>
      <c r="E53" s="22" t="s">
        <v>431</v>
      </c>
      <c r="F53" s="22" t="s">
        <v>430</v>
      </c>
      <c r="G53" s="22" t="s">
        <v>39</v>
      </c>
      <c r="H53" s="22" t="s">
        <v>95</v>
      </c>
      <c r="I53" s="22" t="s">
        <v>38</v>
      </c>
      <c r="J53" s="22" t="s">
        <v>38</v>
      </c>
      <c r="K53" s="22" t="s">
        <v>421</v>
      </c>
      <c r="L53" s="22" t="s">
        <v>429</v>
      </c>
      <c r="M53" s="22" t="s">
        <v>429</v>
      </c>
      <c r="N53" s="22" t="s">
        <v>37</v>
      </c>
      <c r="O53" s="22" t="s">
        <v>38</v>
      </c>
      <c r="P53" s="22" t="s">
        <v>38</v>
      </c>
      <c r="Q53" s="22" t="s">
        <v>38</v>
      </c>
      <c r="R53" s="22" t="s">
        <v>38</v>
      </c>
      <c r="S53" s="22">
        <v>60</v>
      </c>
      <c r="T53" s="22" t="s">
        <v>6</v>
      </c>
      <c r="U53" s="22" t="s">
        <v>609</v>
      </c>
    </row>
    <row r="54" spans="1:21" x14ac:dyDescent="0.25">
      <c r="A54" s="22" t="s">
        <v>758</v>
      </c>
      <c r="B54" s="22" t="s">
        <v>414</v>
      </c>
      <c r="C54" s="22" t="s">
        <v>6</v>
      </c>
      <c r="D54" s="22">
        <v>1</v>
      </c>
      <c r="E54" s="22" t="s">
        <v>428</v>
      </c>
      <c r="F54" s="22" t="s">
        <v>427</v>
      </c>
      <c r="G54" s="22" t="s">
        <v>426</v>
      </c>
      <c r="H54" s="22" t="s">
        <v>95</v>
      </c>
      <c r="I54" s="22">
        <v>7</v>
      </c>
      <c r="J54" s="22">
        <v>7</v>
      </c>
      <c r="K54" s="22" t="s">
        <v>421</v>
      </c>
      <c r="L54" s="22" t="s">
        <v>425</v>
      </c>
      <c r="M54" s="22" t="s">
        <v>425</v>
      </c>
      <c r="N54" s="22" t="s">
        <v>37</v>
      </c>
      <c r="O54" s="22" t="s">
        <v>424</v>
      </c>
      <c r="P54" s="22" t="s">
        <v>735</v>
      </c>
      <c r="Q54" s="22" t="s">
        <v>38</v>
      </c>
      <c r="R54" s="22">
        <v>3</v>
      </c>
      <c r="S54" s="22">
        <v>50</v>
      </c>
      <c r="T54" s="22" t="s">
        <v>423</v>
      </c>
      <c r="U54" s="22" t="s">
        <v>422</v>
      </c>
    </row>
    <row r="55" spans="1:21" x14ac:dyDescent="0.25">
      <c r="A55" s="22" t="s">
        <v>759</v>
      </c>
      <c r="B55" s="22" t="s">
        <v>540</v>
      </c>
      <c r="C55" s="22" t="s">
        <v>126</v>
      </c>
      <c r="D55" s="22">
        <v>1</v>
      </c>
      <c r="E55" s="22" t="s">
        <v>542</v>
      </c>
      <c r="F55" s="22" t="s">
        <v>541</v>
      </c>
      <c r="G55" s="22" t="s">
        <v>39</v>
      </c>
      <c r="H55" s="22" t="s">
        <v>95</v>
      </c>
      <c r="I55" s="22">
        <v>3</v>
      </c>
      <c r="J55" s="22">
        <v>3</v>
      </c>
      <c r="K55" s="22" t="s">
        <v>421</v>
      </c>
      <c r="L55" s="22" t="s">
        <v>425</v>
      </c>
      <c r="M55" s="22" t="s">
        <v>425</v>
      </c>
      <c r="N55" s="22" t="s">
        <v>37</v>
      </c>
      <c r="O55" s="22" t="s">
        <v>576</v>
      </c>
      <c r="P55" s="22" t="s">
        <v>38</v>
      </c>
      <c r="Q55" s="22" t="s">
        <v>38</v>
      </c>
      <c r="R55" s="22" t="s">
        <v>38</v>
      </c>
      <c r="S55" s="22">
        <v>153</v>
      </c>
      <c r="T55" s="22" t="s">
        <v>543</v>
      </c>
      <c r="U55" s="22" t="s">
        <v>544</v>
      </c>
    </row>
    <row r="56" spans="1:21" x14ac:dyDescent="0.25">
      <c r="A56" s="22" t="s">
        <v>759</v>
      </c>
      <c r="B56" s="22" t="s">
        <v>548</v>
      </c>
      <c r="C56" s="22" t="s">
        <v>6</v>
      </c>
      <c r="D56" s="22">
        <v>1</v>
      </c>
      <c r="E56" s="22" t="s">
        <v>542</v>
      </c>
      <c r="F56" s="22" t="s">
        <v>512</v>
      </c>
      <c r="G56" s="22" t="s">
        <v>39</v>
      </c>
      <c r="H56" s="22" t="s">
        <v>38</v>
      </c>
      <c r="I56" s="22" t="s">
        <v>38</v>
      </c>
      <c r="J56" s="22" t="s">
        <v>38</v>
      </c>
      <c r="K56" s="22" t="s">
        <v>421</v>
      </c>
      <c r="L56" s="22" t="s">
        <v>425</v>
      </c>
      <c r="M56" s="22" t="s">
        <v>425</v>
      </c>
      <c r="N56" s="22" t="s">
        <v>37</v>
      </c>
      <c r="O56" s="22" t="s">
        <v>551</v>
      </c>
      <c r="P56" s="22" t="s">
        <v>38</v>
      </c>
      <c r="Q56" s="22" t="s">
        <v>38</v>
      </c>
      <c r="R56" s="22" t="s">
        <v>38</v>
      </c>
      <c r="S56" s="22">
        <f>14+28</f>
        <v>42</v>
      </c>
      <c r="T56" s="22" t="s">
        <v>549</v>
      </c>
      <c r="U56" s="22" t="s">
        <v>554</v>
      </c>
    </row>
    <row r="57" spans="1:21" x14ac:dyDescent="0.25">
      <c r="A57" s="22" t="s">
        <v>759</v>
      </c>
      <c r="B57" s="22" t="s">
        <v>548</v>
      </c>
      <c r="C57" s="22" t="s">
        <v>6</v>
      </c>
      <c r="D57" s="22">
        <v>2</v>
      </c>
      <c r="E57" s="22" t="s">
        <v>431</v>
      </c>
      <c r="F57" s="22" t="s">
        <v>512</v>
      </c>
      <c r="G57" s="22" t="s">
        <v>39</v>
      </c>
      <c r="H57" s="22" t="s">
        <v>38</v>
      </c>
      <c r="I57" s="22" t="s">
        <v>38</v>
      </c>
      <c r="J57" s="22" t="s">
        <v>38</v>
      </c>
      <c r="K57" s="22" t="s">
        <v>421</v>
      </c>
      <c r="L57" s="22" t="s">
        <v>429</v>
      </c>
      <c r="M57" s="22" t="s">
        <v>429</v>
      </c>
      <c r="N57" s="22" t="s">
        <v>37</v>
      </c>
      <c r="O57" s="22" t="s">
        <v>576</v>
      </c>
      <c r="P57" s="22" t="s">
        <v>38</v>
      </c>
      <c r="Q57" s="22" t="s">
        <v>38</v>
      </c>
      <c r="R57" s="22" t="s">
        <v>38</v>
      </c>
      <c r="S57" s="22">
        <v>7</v>
      </c>
      <c r="T57" s="22" t="s">
        <v>550</v>
      </c>
      <c r="U57" s="22" t="s">
        <v>6</v>
      </c>
    </row>
    <row r="58" spans="1:21" x14ac:dyDescent="0.25">
      <c r="A58" s="22" t="s">
        <v>759</v>
      </c>
      <c r="B58" s="22" t="s">
        <v>186</v>
      </c>
      <c r="C58" s="22" t="s">
        <v>185</v>
      </c>
      <c r="D58" s="22">
        <v>1</v>
      </c>
      <c r="E58" s="22" t="s">
        <v>568</v>
      </c>
      <c r="F58" s="22" t="s">
        <v>561</v>
      </c>
      <c r="G58" s="22" t="s">
        <v>38</v>
      </c>
      <c r="H58" s="22" t="s">
        <v>95</v>
      </c>
      <c r="I58" s="22" t="s">
        <v>38</v>
      </c>
      <c r="J58" s="22" t="s">
        <v>38</v>
      </c>
      <c r="K58" s="22" t="s">
        <v>421</v>
      </c>
      <c r="L58" s="22" t="s">
        <v>38</v>
      </c>
      <c r="M58" s="22" t="s">
        <v>38</v>
      </c>
      <c r="N58" s="22" t="s">
        <v>37</v>
      </c>
      <c r="O58" s="22" t="s">
        <v>564</v>
      </c>
      <c r="P58" s="22" t="s">
        <v>38</v>
      </c>
      <c r="Q58" s="22" t="s">
        <v>38</v>
      </c>
      <c r="R58" s="22" t="s">
        <v>38</v>
      </c>
      <c r="S58" s="22">
        <v>21</v>
      </c>
      <c r="T58" s="22" t="s">
        <v>565</v>
      </c>
      <c r="U58" s="22" t="s">
        <v>6</v>
      </c>
    </row>
    <row r="59" spans="1:21" x14ac:dyDescent="0.25">
      <c r="A59" s="22" t="s">
        <v>759</v>
      </c>
      <c r="B59" s="22" t="s">
        <v>186</v>
      </c>
      <c r="C59" s="22" t="s">
        <v>185</v>
      </c>
      <c r="D59" s="22">
        <v>2</v>
      </c>
      <c r="E59" s="22" t="s">
        <v>568</v>
      </c>
      <c r="F59" s="22" t="s">
        <v>563</v>
      </c>
      <c r="G59" s="22" t="s">
        <v>38</v>
      </c>
      <c r="H59" s="22" t="s">
        <v>95</v>
      </c>
      <c r="I59" s="22" t="s">
        <v>38</v>
      </c>
      <c r="J59" s="22" t="s">
        <v>38</v>
      </c>
      <c r="K59" s="22" t="s">
        <v>421</v>
      </c>
      <c r="L59" s="22" t="s">
        <v>38</v>
      </c>
      <c r="M59" s="22" t="s">
        <v>38</v>
      </c>
      <c r="N59" s="22" t="s">
        <v>37</v>
      </c>
      <c r="O59" s="22" t="s">
        <v>564</v>
      </c>
      <c r="P59" s="22" t="s">
        <v>38</v>
      </c>
      <c r="Q59" s="22" t="s">
        <v>38</v>
      </c>
      <c r="R59" s="22" t="s">
        <v>38</v>
      </c>
      <c r="S59" s="22">
        <v>21</v>
      </c>
      <c r="T59" s="22" t="s">
        <v>566</v>
      </c>
      <c r="U59" s="22" t="s">
        <v>6</v>
      </c>
    </row>
    <row r="60" spans="1:21" x14ac:dyDescent="0.25">
      <c r="A60" s="22" t="s">
        <v>759</v>
      </c>
      <c r="B60" s="22" t="s">
        <v>186</v>
      </c>
      <c r="C60" s="22" t="s">
        <v>185</v>
      </c>
      <c r="D60" s="22">
        <v>3</v>
      </c>
      <c r="E60" s="22" t="s">
        <v>568</v>
      </c>
      <c r="F60" s="22" t="s">
        <v>562</v>
      </c>
      <c r="G60" s="22" t="s">
        <v>38</v>
      </c>
      <c r="H60" s="22" t="s">
        <v>95</v>
      </c>
      <c r="I60" s="22" t="s">
        <v>38</v>
      </c>
      <c r="J60" s="22" t="s">
        <v>38</v>
      </c>
      <c r="K60" s="22" t="s">
        <v>421</v>
      </c>
      <c r="L60" s="22" t="s">
        <v>38</v>
      </c>
      <c r="M60" s="22" t="s">
        <v>38</v>
      </c>
      <c r="N60" s="22" t="s">
        <v>37</v>
      </c>
      <c r="O60" s="22" t="s">
        <v>564</v>
      </c>
      <c r="P60" s="22" t="s">
        <v>38</v>
      </c>
      <c r="Q60" s="22" t="s">
        <v>38</v>
      </c>
      <c r="R60" s="22" t="s">
        <v>38</v>
      </c>
      <c r="S60" s="22">
        <v>21</v>
      </c>
      <c r="T60" s="22" t="s">
        <v>567</v>
      </c>
      <c r="U60" s="22" t="s">
        <v>6</v>
      </c>
    </row>
  </sheetData>
  <dataValidations count="5">
    <dataValidation type="list" allowBlank="1" showInputMessage="1" showErrorMessage="1" sqref="I2:J7 I10:J10 H61:H1048576 H24:H60 H1:H22" xr:uid="{906A17C0-69C9-CA4A-A7D9-5F417B9CE8DB}">
      <formula1>"split, independent, unclear"</formula1>
    </dataValidation>
    <dataValidation type="list" allowBlank="1" showInputMessage="1" showErrorMessage="1" sqref="L61:M1048576 L13:M60 L1:L12 M2:M12" xr:uid="{F80747C2-5246-DA49-BF32-BF936F048F0E}">
      <formula1>"larva, metamorph, juvenile, adult, cross-stage, not applicable, unclear"</formula1>
    </dataValidation>
    <dataValidation type="list" allowBlank="1" showInputMessage="1" showErrorMessage="1" sqref="G61:G1048576 G2:G60" xr:uid="{A229FC7A-15E7-6D48-A252-828DF9FA65C9}">
      <formula1>"wild, captive, unclear"</formula1>
    </dataValidation>
    <dataValidation type="list" allowBlank="1" showInputMessage="1" showErrorMessage="1" sqref="N61:N1048576 N2:N60" xr:uid="{99F79314-08DA-0C49-A6C8-201D2AF5DA66}">
      <formula1>"field, semi-natural, laboratory"</formula1>
    </dataValidation>
    <dataValidation type="list" allowBlank="1" showInputMessage="1" showErrorMessage="1" sqref="K61:K1048576 K2:K60" xr:uid="{06EC893A-D2BF-E04E-AD7D-0A8F090CEB82}">
      <formula1>"yes, no"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C3FAA-EC97-E74C-9AC1-BD047E9E1D15}">
  <dimension ref="A1:AJ276"/>
  <sheetViews>
    <sheetView zoomScale="106" zoomScaleNormal="150" workbookViewId="0">
      <pane ySplit="1" topLeftCell="A2" activePane="bottomLeft" state="frozen"/>
      <selection pane="bottomLeft" activeCell="C59" sqref="C59"/>
    </sheetView>
  </sheetViews>
  <sheetFormatPr baseColWidth="10" defaultColWidth="8.83203125" defaultRowHeight="20" x14ac:dyDescent="0.25"/>
  <cols>
    <col min="1" max="1" width="16.83203125" style="22" customWidth="1"/>
    <col min="2" max="2" width="52" style="22" customWidth="1"/>
    <col min="3" max="3" width="11.1640625" style="22" customWidth="1"/>
    <col min="4" max="4" width="16.83203125" style="22" customWidth="1"/>
    <col min="5" max="5" width="54.6640625" style="22" customWidth="1"/>
    <col min="6" max="6" width="37.5" style="22" customWidth="1"/>
    <col min="7" max="8" width="28.33203125" style="22" customWidth="1"/>
    <col min="9" max="9" width="54.5" style="22" customWidth="1"/>
    <col min="10" max="10" width="36.6640625" style="22" customWidth="1"/>
    <col min="11" max="11" width="29.33203125" style="22" customWidth="1"/>
    <col min="12" max="13" width="21.1640625" style="22" customWidth="1"/>
    <col min="14" max="14" width="24.33203125" style="22" customWidth="1"/>
    <col min="15" max="15" width="20.1640625" style="22" customWidth="1"/>
    <col min="16" max="16" width="15.1640625" style="23" customWidth="1"/>
    <col min="17" max="17" width="15.83203125" style="22" customWidth="1"/>
    <col min="18" max="18" width="20.1640625" style="22" customWidth="1"/>
    <col min="19" max="19" width="16.5" style="22" customWidth="1"/>
    <col min="20" max="20" width="14" style="23" customWidth="1"/>
    <col min="21" max="21" width="16.83203125" style="22" customWidth="1"/>
    <col min="22" max="22" width="20.1640625" style="22" customWidth="1"/>
    <col min="23" max="23" width="16.5" style="22" customWidth="1"/>
    <col min="24" max="24" width="32.83203125" style="22" customWidth="1"/>
    <col min="25" max="25" width="32.33203125" style="22" customWidth="1"/>
    <col min="26" max="26" width="20.5" style="22" customWidth="1"/>
    <col min="27" max="27" width="16.83203125" style="22" customWidth="1"/>
    <col min="28" max="28" width="16.5" style="22" customWidth="1"/>
    <col min="29" max="29" width="16.83203125" style="22" customWidth="1"/>
    <col min="30" max="30" width="16.5" style="22" customWidth="1"/>
    <col min="31" max="31" width="53" style="22" customWidth="1"/>
    <col min="32" max="32" width="112.83203125" style="22" customWidth="1"/>
    <col min="33" max="33" width="35" style="22" customWidth="1"/>
    <col min="34" max="34" width="36.33203125" style="30" customWidth="1"/>
    <col min="35" max="35" width="51.6640625" style="22" customWidth="1"/>
    <col min="36" max="36" width="13.5" style="22" bestFit="1" customWidth="1"/>
    <col min="37" max="16384" width="8.83203125" style="22"/>
  </cols>
  <sheetData>
    <row r="1" spans="1:36" ht="20" customHeight="1" x14ac:dyDescent="0.25">
      <c r="A1" s="15" t="s">
        <v>757</v>
      </c>
      <c r="B1" s="14" t="s">
        <v>63</v>
      </c>
      <c r="C1" s="15" t="s">
        <v>64</v>
      </c>
      <c r="D1" s="16" t="s">
        <v>29</v>
      </c>
      <c r="E1" s="16" t="s">
        <v>751</v>
      </c>
      <c r="F1" s="16" t="s">
        <v>752</v>
      </c>
      <c r="G1" s="16" t="s">
        <v>631</v>
      </c>
      <c r="H1" s="16" t="s">
        <v>726</v>
      </c>
      <c r="I1" s="16" t="s">
        <v>47</v>
      </c>
      <c r="J1" s="18" t="s">
        <v>66</v>
      </c>
      <c r="K1" s="18" t="s">
        <v>693</v>
      </c>
      <c r="L1" s="18" t="s">
        <v>778</v>
      </c>
      <c r="M1" s="18" t="s">
        <v>779</v>
      </c>
      <c r="N1" s="17" t="s">
        <v>595</v>
      </c>
      <c r="O1" s="17" t="s">
        <v>596</v>
      </c>
      <c r="P1" s="15" t="s">
        <v>69</v>
      </c>
      <c r="Q1" s="20" t="s">
        <v>67</v>
      </c>
      <c r="R1" s="20" t="s">
        <v>70</v>
      </c>
      <c r="S1" s="20" t="s">
        <v>77</v>
      </c>
      <c r="T1" s="19" t="s">
        <v>72</v>
      </c>
      <c r="U1" s="19" t="s">
        <v>68</v>
      </c>
      <c r="V1" s="19" t="s">
        <v>71</v>
      </c>
      <c r="W1" s="19" t="s">
        <v>78</v>
      </c>
      <c r="X1" s="17" t="s">
        <v>12</v>
      </c>
      <c r="Y1" s="17" t="s">
        <v>13</v>
      </c>
      <c r="Z1" s="17" t="s">
        <v>17</v>
      </c>
      <c r="AA1" s="21" t="s">
        <v>73</v>
      </c>
      <c r="AB1" s="21" t="s">
        <v>76</v>
      </c>
      <c r="AC1" s="20" t="s">
        <v>74</v>
      </c>
      <c r="AD1" s="20" t="s">
        <v>75</v>
      </c>
      <c r="AE1" s="19" t="s">
        <v>79</v>
      </c>
      <c r="AF1" s="19" t="s">
        <v>19</v>
      </c>
      <c r="AG1" s="19" t="s">
        <v>21</v>
      </c>
      <c r="AH1" s="19" t="s">
        <v>668</v>
      </c>
      <c r="AI1" s="19" t="s">
        <v>780</v>
      </c>
      <c r="AJ1" s="19" t="s">
        <v>22</v>
      </c>
    </row>
    <row r="2" spans="1:36" ht="20" customHeight="1" x14ac:dyDescent="0.25">
      <c r="A2" s="22" t="s">
        <v>758</v>
      </c>
      <c r="B2" s="22" t="s">
        <v>34</v>
      </c>
      <c r="C2" s="22">
        <v>1</v>
      </c>
      <c r="D2" s="22" t="s">
        <v>615</v>
      </c>
      <c r="E2" s="22" t="s">
        <v>36</v>
      </c>
      <c r="F2" s="22" t="s">
        <v>733</v>
      </c>
      <c r="G2" s="22" t="s">
        <v>6</v>
      </c>
      <c r="H2" s="22" t="s">
        <v>730</v>
      </c>
      <c r="I2" s="22" t="s">
        <v>127</v>
      </c>
      <c r="J2" s="22" t="s">
        <v>24</v>
      </c>
      <c r="K2" s="22" t="s">
        <v>6</v>
      </c>
      <c r="L2" s="22">
        <v>21</v>
      </c>
      <c r="M2" s="22">
        <v>21</v>
      </c>
      <c r="N2" s="22">
        <v>1</v>
      </c>
      <c r="O2" s="22">
        <v>1</v>
      </c>
      <c r="P2" s="23">
        <v>1</v>
      </c>
      <c r="Q2" s="22">
        <v>19</v>
      </c>
      <c r="R2" s="22">
        <v>19</v>
      </c>
      <c r="S2" s="22" t="s">
        <v>6</v>
      </c>
      <c r="T2" s="23">
        <v>1</v>
      </c>
      <c r="U2" s="22">
        <v>20</v>
      </c>
      <c r="V2" s="22">
        <v>20</v>
      </c>
      <c r="W2" s="22" t="s">
        <v>6</v>
      </c>
      <c r="X2" s="22" t="s">
        <v>35</v>
      </c>
      <c r="Y2" s="22" t="s">
        <v>27</v>
      </c>
      <c r="Z2" s="22" t="s">
        <v>6</v>
      </c>
      <c r="AA2" s="22">
        <v>0</v>
      </c>
      <c r="AB2" s="22" t="s">
        <v>6</v>
      </c>
      <c r="AC2" s="22">
        <v>0</v>
      </c>
      <c r="AD2" s="22" t="s">
        <v>6</v>
      </c>
      <c r="AE2" s="22" t="s">
        <v>6</v>
      </c>
      <c r="AF2" s="22" t="s">
        <v>130</v>
      </c>
      <c r="AG2" s="22" t="s">
        <v>6</v>
      </c>
      <c r="AH2" s="30" t="b">
        <v>0</v>
      </c>
      <c r="AI2" s="22" t="s">
        <v>6</v>
      </c>
      <c r="AJ2" s="22" t="s">
        <v>129</v>
      </c>
    </row>
    <row r="3" spans="1:36" ht="17" customHeight="1" x14ac:dyDescent="0.25">
      <c r="A3" s="22" t="s">
        <v>758</v>
      </c>
      <c r="B3" s="22" t="s">
        <v>34</v>
      </c>
      <c r="C3" s="22">
        <v>1</v>
      </c>
      <c r="D3" s="22" t="s">
        <v>615</v>
      </c>
      <c r="E3" s="22" t="s">
        <v>36</v>
      </c>
      <c r="F3" s="22" t="s">
        <v>733</v>
      </c>
      <c r="G3" s="22" t="s">
        <v>6</v>
      </c>
      <c r="H3" s="22" t="s">
        <v>730</v>
      </c>
      <c r="I3" s="22" t="s">
        <v>127</v>
      </c>
      <c r="J3" s="22" t="s">
        <v>775</v>
      </c>
      <c r="K3" s="22">
        <v>2</v>
      </c>
      <c r="L3" s="22">
        <v>15</v>
      </c>
      <c r="M3" s="22">
        <v>15</v>
      </c>
      <c r="N3" s="22">
        <v>1</v>
      </c>
      <c r="O3" s="22">
        <v>2</v>
      </c>
      <c r="P3" s="23">
        <v>1</v>
      </c>
      <c r="Q3" s="22">
        <v>19</v>
      </c>
      <c r="R3" s="22">
        <v>19</v>
      </c>
      <c r="S3" s="22" t="s">
        <v>6</v>
      </c>
      <c r="T3" s="23">
        <v>1</v>
      </c>
      <c r="U3" s="22">
        <v>17</v>
      </c>
      <c r="V3" s="22">
        <v>17</v>
      </c>
      <c r="W3" s="22" t="s">
        <v>6</v>
      </c>
      <c r="X3" s="22" t="s">
        <v>685</v>
      </c>
      <c r="Y3" s="22" t="s">
        <v>27</v>
      </c>
      <c r="Z3" s="22" t="s">
        <v>6</v>
      </c>
      <c r="AA3" s="22">
        <f>12/19%</f>
        <v>63.157894736842103</v>
      </c>
      <c r="AB3" s="22" t="s">
        <v>6</v>
      </c>
      <c r="AC3" s="22">
        <f>15/17%</f>
        <v>88.235294117647058</v>
      </c>
      <c r="AD3" s="22" t="s">
        <v>6</v>
      </c>
      <c r="AE3" s="22" t="s">
        <v>6</v>
      </c>
      <c r="AF3" s="22" t="s">
        <v>694</v>
      </c>
      <c r="AG3" s="22" t="s">
        <v>43</v>
      </c>
      <c r="AH3" s="30" t="b">
        <v>0</v>
      </c>
      <c r="AI3" s="22" t="s">
        <v>6</v>
      </c>
      <c r="AJ3" s="22" t="s">
        <v>686</v>
      </c>
    </row>
    <row r="4" spans="1:36" ht="18" customHeight="1" x14ac:dyDescent="0.25">
      <c r="A4" s="22" t="s">
        <v>758</v>
      </c>
      <c r="B4" s="22" t="s">
        <v>34</v>
      </c>
      <c r="C4" s="22">
        <v>1</v>
      </c>
      <c r="D4" s="22" t="s">
        <v>615</v>
      </c>
      <c r="E4" s="22" t="s">
        <v>36</v>
      </c>
      <c r="F4" s="22" t="s">
        <v>733</v>
      </c>
      <c r="G4" s="22" t="s">
        <v>6</v>
      </c>
      <c r="H4" s="22" t="s">
        <v>730</v>
      </c>
      <c r="I4" s="22" t="s">
        <v>127</v>
      </c>
      <c r="J4" s="22" t="s">
        <v>774</v>
      </c>
      <c r="K4" s="22">
        <v>2</v>
      </c>
      <c r="L4" s="22">
        <v>15.857143000000001</v>
      </c>
      <c r="M4" s="22">
        <v>15.75</v>
      </c>
      <c r="N4" s="22">
        <v>1</v>
      </c>
      <c r="O4" s="22">
        <v>3</v>
      </c>
      <c r="P4" s="23">
        <v>1</v>
      </c>
      <c r="Q4" s="22">
        <v>14</v>
      </c>
      <c r="R4" s="22">
        <v>14</v>
      </c>
      <c r="S4" s="22">
        <v>14</v>
      </c>
      <c r="T4" s="23">
        <v>1</v>
      </c>
      <c r="U4" s="22">
        <v>16</v>
      </c>
      <c r="V4" s="22">
        <v>16</v>
      </c>
      <c r="W4" s="22">
        <v>16</v>
      </c>
      <c r="X4" s="22" t="s">
        <v>132</v>
      </c>
      <c r="Y4" s="22" t="s">
        <v>44</v>
      </c>
      <c r="Z4" s="22" t="s">
        <v>133</v>
      </c>
      <c r="AA4" s="22">
        <v>31.820709999999998</v>
      </c>
      <c r="AB4" s="22">
        <v>47.169640000000001</v>
      </c>
      <c r="AC4" s="22">
        <v>586.28250000000003</v>
      </c>
      <c r="AD4" s="22">
        <v>795.94057999999995</v>
      </c>
      <c r="AE4" s="22" t="s">
        <v>6</v>
      </c>
      <c r="AF4" s="22" t="s">
        <v>695</v>
      </c>
      <c r="AG4" s="22" t="s">
        <v>43</v>
      </c>
      <c r="AH4" s="30" t="b">
        <v>0</v>
      </c>
      <c r="AI4" s="22" t="s">
        <v>6</v>
      </c>
      <c r="AJ4" s="35" t="s">
        <v>131</v>
      </c>
    </row>
    <row r="5" spans="1:36" x14ac:dyDescent="0.25">
      <c r="A5" s="22" t="s">
        <v>758</v>
      </c>
      <c r="B5" s="22" t="s">
        <v>34</v>
      </c>
      <c r="C5" s="22">
        <v>2</v>
      </c>
      <c r="D5" s="22" t="s">
        <v>615</v>
      </c>
      <c r="E5" s="22" t="s">
        <v>36</v>
      </c>
      <c r="F5" s="22" t="s">
        <v>733</v>
      </c>
      <c r="G5" s="22" t="s">
        <v>6</v>
      </c>
      <c r="H5" s="22" t="s">
        <v>730</v>
      </c>
      <c r="I5" s="22" t="s">
        <v>127</v>
      </c>
      <c r="J5" s="22" t="s">
        <v>24</v>
      </c>
      <c r="K5" s="22" t="s">
        <v>6</v>
      </c>
      <c r="L5" s="22">
        <v>20</v>
      </c>
      <c r="M5" s="22">
        <v>20</v>
      </c>
      <c r="N5" s="22">
        <v>1</v>
      </c>
      <c r="O5" s="22">
        <v>4</v>
      </c>
      <c r="P5" s="23">
        <v>1</v>
      </c>
      <c r="Q5" s="22">
        <v>10</v>
      </c>
      <c r="R5" s="22">
        <v>10</v>
      </c>
      <c r="S5" s="22" t="s">
        <v>6</v>
      </c>
      <c r="T5" s="23">
        <v>1</v>
      </c>
      <c r="U5" s="22">
        <v>40</v>
      </c>
      <c r="V5" s="22">
        <v>40</v>
      </c>
      <c r="W5" s="22" t="s">
        <v>6</v>
      </c>
      <c r="X5" s="22" t="s">
        <v>35</v>
      </c>
      <c r="Y5" s="22" t="s">
        <v>27</v>
      </c>
      <c r="Z5" s="22" t="s">
        <v>6</v>
      </c>
      <c r="AA5" s="24">
        <v>0</v>
      </c>
      <c r="AB5" s="22" t="s">
        <v>6</v>
      </c>
      <c r="AC5" s="24">
        <v>0</v>
      </c>
      <c r="AD5" s="22" t="s">
        <v>6</v>
      </c>
      <c r="AE5" s="22" t="s">
        <v>134</v>
      </c>
      <c r="AF5" s="22" t="s">
        <v>136</v>
      </c>
      <c r="AG5" s="22" t="s">
        <v>6</v>
      </c>
      <c r="AH5" s="30" t="b">
        <v>0</v>
      </c>
      <c r="AI5" s="22" t="s">
        <v>6</v>
      </c>
      <c r="AJ5" s="22" t="s">
        <v>597</v>
      </c>
    </row>
    <row r="6" spans="1:36" x14ac:dyDescent="0.25">
      <c r="A6" s="22" t="s">
        <v>758</v>
      </c>
      <c r="B6" s="22" t="s">
        <v>34</v>
      </c>
      <c r="C6" s="22">
        <v>2</v>
      </c>
      <c r="D6" s="22" t="s">
        <v>615</v>
      </c>
      <c r="E6" s="22" t="s">
        <v>36</v>
      </c>
      <c r="F6" s="22" t="s">
        <v>733</v>
      </c>
      <c r="G6" s="22" t="s">
        <v>6</v>
      </c>
      <c r="H6" s="22" t="s">
        <v>730</v>
      </c>
      <c r="I6" s="22" t="s">
        <v>127</v>
      </c>
      <c r="J6" s="22" t="s">
        <v>24</v>
      </c>
      <c r="K6" s="22" t="s">
        <v>6</v>
      </c>
      <c r="L6" s="22">
        <v>20</v>
      </c>
      <c r="M6" s="22">
        <v>20</v>
      </c>
      <c r="N6" s="22">
        <v>1</v>
      </c>
      <c r="O6" s="22">
        <v>4</v>
      </c>
      <c r="P6" s="23">
        <v>2</v>
      </c>
      <c r="Q6" s="22">
        <v>10</v>
      </c>
      <c r="R6" s="22">
        <v>10</v>
      </c>
      <c r="S6" s="22" t="s">
        <v>6</v>
      </c>
      <c r="T6" s="23">
        <v>1</v>
      </c>
      <c r="U6" s="22">
        <v>40</v>
      </c>
      <c r="V6" s="22">
        <v>40</v>
      </c>
      <c r="W6" s="22" t="s">
        <v>6</v>
      </c>
      <c r="X6" s="22" t="s">
        <v>35</v>
      </c>
      <c r="Y6" s="22" t="s">
        <v>27</v>
      </c>
      <c r="Z6" s="22" t="s">
        <v>6</v>
      </c>
      <c r="AA6" s="22">
        <v>0</v>
      </c>
      <c r="AB6" s="22" t="s">
        <v>6</v>
      </c>
      <c r="AC6" s="22">
        <v>0</v>
      </c>
      <c r="AD6" s="22" t="s">
        <v>6</v>
      </c>
      <c r="AE6" s="22" t="s">
        <v>135</v>
      </c>
      <c r="AF6" s="22" t="s">
        <v>137</v>
      </c>
      <c r="AG6" s="22" t="s">
        <v>6</v>
      </c>
      <c r="AH6" s="30" t="b">
        <v>0</v>
      </c>
      <c r="AI6" s="22" t="s">
        <v>6</v>
      </c>
      <c r="AJ6" s="22" t="s">
        <v>598</v>
      </c>
    </row>
    <row r="7" spans="1:36" x14ac:dyDescent="0.25">
      <c r="A7" s="22" t="s">
        <v>758</v>
      </c>
      <c r="B7" s="22" t="s">
        <v>34</v>
      </c>
      <c r="C7" s="22">
        <v>2</v>
      </c>
      <c r="D7" s="22" t="s">
        <v>615</v>
      </c>
      <c r="E7" s="22" t="s">
        <v>36</v>
      </c>
      <c r="F7" s="22" t="s">
        <v>733</v>
      </c>
      <c r="G7" s="22" t="s">
        <v>6</v>
      </c>
      <c r="H7" s="22" t="s">
        <v>730</v>
      </c>
      <c r="I7" s="22" t="s">
        <v>127</v>
      </c>
      <c r="J7" s="22" t="s">
        <v>775</v>
      </c>
      <c r="K7" s="22">
        <v>3</v>
      </c>
      <c r="L7" s="22">
        <v>5</v>
      </c>
      <c r="M7" s="22">
        <v>5</v>
      </c>
      <c r="N7" s="22">
        <v>1</v>
      </c>
      <c r="O7" s="22">
        <v>5</v>
      </c>
      <c r="P7" s="23">
        <v>1</v>
      </c>
      <c r="Q7" s="22">
        <v>9</v>
      </c>
      <c r="R7" s="22">
        <v>9</v>
      </c>
      <c r="S7" s="22" t="s">
        <v>6</v>
      </c>
      <c r="T7" s="23">
        <v>1</v>
      </c>
      <c r="U7" s="22">
        <v>36</v>
      </c>
      <c r="V7" s="22">
        <v>36</v>
      </c>
      <c r="W7" s="22" t="s">
        <v>6</v>
      </c>
      <c r="X7" s="22" t="s">
        <v>691</v>
      </c>
      <c r="Y7" s="22" t="s">
        <v>27</v>
      </c>
      <c r="Z7" s="22" t="s">
        <v>6</v>
      </c>
      <c r="AA7" s="22">
        <v>100</v>
      </c>
      <c r="AB7" s="22" t="s">
        <v>6</v>
      </c>
      <c r="AC7" s="22">
        <v>100</v>
      </c>
      <c r="AD7" s="22" t="s">
        <v>6</v>
      </c>
      <c r="AE7" s="22" t="s">
        <v>134</v>
      </c>
      <c r="AF7" s="22" t="s">
        <v>687</v>
      </c>
      <c r="AG7" s="22" t="s">
        <v>43</v>
      </c>
      <c r="AH7" s="30" t="b">
        <v>0</v>
      </c>
      <c r="AI7" s="22" t="s">
        <v>6</v>
      </c>
      <c r="AJ7" s="22" t="s">
        <v>692</v>
      </c>
    </row>
    <row r="8" spans="1:36" x14ac:dyDescent="0.25">
      <c r="A8" s="22" t="s">
        <v>758</v>
      </c>
      <c r="B8" s="22" t="s">
        <v>34</v>
      </c>
      <c r="C8" s="22">
        <v>2</v>
      </c>
      <c r="D8" s="22" t="s">
        <v>615</v>
      </c>
      <c r="E8" s="22" t="s">
        <v>36</v>
      </c>
      <c r="F8" s="22" t="s">
        <v>733</v>
      </c>
      <c r="G8" s="22" t="s">
        <v>6</v>
      </c>
      <c r="H8" s="22" t="s">
        <v>730</v>
      </c>
      <c r="I8" s="22" t="s">
        <v>127</v>
      </c>
      <c r="J8" s="22" t="s">
        <v>775</v>
      </c>
      <c r="K8" s="22">
        <v>3</v>
      </c>
      <c r="L8" s="22">
        <v>5</v>
      </c>
      <c r="M8" s="22">
        <v>5</v>
      </c>
      <c r="N8" s="22">
        <v>1</v>
      </c>
      <c r="O8" s="22">
        <v>5</v>
      </c>
      <c r="P8" s="23">
        <v>2</v>
      </c>
      <c r="Q8" s="22">
        <v>9</v>
      </c>
      <c r="R8" s="22">
        <v>9</v>
      </c>
      <c r="S8" s="22" t="s">
        <v>6</v>
      </c>
      <c r="T8" s="23">
        <v>1</v>
      </c>
      <c r="U8" s="22">
        <v>36</v>
      </c>
      <c r="V8" s="22">
        <v>36</v>
      </c>
      <c r="W8" s="22" t="s">
        <v>6</v>
      </c>
      <c r="X8" s="22" t="s">
        <v>691</v>
      </c>
      <c r="Y8" s="22" t="s">
        <v>27</v>
      </c>
      <c r="Z8" s="22" t="s">
        <v>6</v>
      </c>
      <c r="AA8" s="22">
        <v>100</v>
      </c>
      <c r="AB8" s="22" t="s">
        <v>6</v>
      </c>
      <c r="AC8" s="22">
        <v>100</v>
      </c>
      <c r="AD8" s="22" t="s">
        <v>6</v>
      </c>
      <c r="AE8" s="22" t="s">
        <v>135</v>
      </c>
      <c r="AF8" s="22" t="s">
        <v>689</v>
      </c>
      <c r="AG8" s="22" t="s">
        <v>43</v>
      </c>
      <c r="AH8" s="30" t="b">
        <v>0</v>
      </c>
      <c r="AI8" s="22" t="s">
        <v>6</v>
      </c>
      <c r="AJ8" s="22" t="s">
        <v>692</v>
      </c>
    </row>
    <row r="9" spans="1:36" x14ac:dyDescent="0.25">
      <c r="A9" s="22" t="s">
        <v>758</v>
      </c>
      <c r="B9" s="22" t="s">
        <v>34</v>
      </c>
      <c r="C9" s="22">
        <v>2</v>
      </c>
      <c r="D9" s="22" t="s">
        <v>615</v>
      </c>
      <c r="E9" s="22" t="s">
        <v>36</v>
      </c>
      <c r="F9" s="22" t="s">
        <v>733</v>
      </c>
      <c r="G9" s="22" t="s">
        <v>6</v>
      </c>
      <c r="H9" s="22" t="s">
        <v>730</v>
      </c>
      <c r="I9" s="22" t="s">
        <v>127</v>
      </c>
      <c r="J9" s="22" t="s">
        <v>774</v>
      </c>
      <c r="K9" s="22">
        <v>3</v>
      </c>
      <c r="L9" s="22">
        <v>6.6666670000000003</v>
      </c>
      <c r="M9" s="22">
        <v>10.472222</v>
      </c>
      <c r="N9" s="22">
        <v>1</v>
      </c>
      <c r="O9" s="22">
        <v>6</v>
      </c>
      <c r="P9" s="23">
        <v>1</v>
      </c>
      <c r="Q9" s="22">
        <v>9</v>
      </c>
      <c r="R9" s="22">
        <v>9</v>
      </c>
      <c r="S9" s="22">
        <v>9</v>
      </c>
      <c r="T9" s="23">
        <v>1</v>
      </c>
      <c r="U9" s="22">
        <v>36</v>
      </c>
      <c r="V9" s="22">
        <v>36</v>
      </c>
      <c r="W9" s="22">
        <v>36</v>
      </c>
      <c r="X9" s="22" t="s">
        <v>132</v>
      </c>
      <c r="Y9" s="22" t="s">
        <v>44</v>
      </c>
      <c r="Z9" s="22" t="s">
        <v>133</v>
      </c>
      <c r="AA9" s="22">
        <v>762.87</v>
      </c>
      <c r="AB9" s="22">
        <v>375.79127</v>
      </c>
      <c r="AC9" s="22">
        <v>2858.02889</v>
      </c>
      <c r="AD9" s="22">
        <v>3436.01343</v>
      </c>
      <c r="AE9" s="22" t="s">
        <v>134</v>
      </c>
      <c r="AF9" s="22" t="s">
        <v>690</v>
      </c>
      <c r="AG9" s="22" t="s">
        <v>43</v>
      </c>
      <c r="AH9" s="30" t="b">
        <v>0</v>
      </c>
      <c r="AI9" s="22" t="s">
        <v>6</v>
      </c>
      <c r="AJ9" s="22" t="s">
        <v>599</v>
      </c>
    </row>
    <row r="10" spans="1:36" x14ac:dyDescent="0.25">
      <c r="A10" s="22" t="s">
        <v>758</v>
      </c>
      <c r="B10" s="22" t="s">
        <v>34</v>
      </c>
      <c r="C10" s="22">
        <v>2</v>
      </c>
      <c r="D10" s="22" t="s">
        <v>615</v>
      </c>
      <c r="E10" s="22" t="s">
        <v>36</v>
      </c>
      <c r="F10" s="22" t="s">
        <v>733</v>
      </c>
      <c r="G10" s="22" t="s">
        <v>6</v>
      </c>
      <c r="H10" s="22" t="s">
        <v>730</v>
      </c>
      <c r="I10" s="22" t="s">
        <v>127</v>
      </c>
      <c r="J10" s="22" t="s">
        <v>774</v>
      </c>
      <c r="K10" s="22">
        <v>3</v>
      </c>
      <c r="L10" s="22">
        <v>9.2222220000000004</v>
      </c>
      <c r="M10" s="22">
        <v>10.472222</v>
      </c>
      <c r="N10" s="22">
        <v>1</v>
      </c>
      <c r="O10" s="22">
        <v>6</v>
      </c>
      <c r="P10" s="23">
        <v>2</v>
      </c>
      <c r="Q10" s="22">
        <v>9</v>
      </c>
      <c r="R10" s="22">
        <v>9</v>
      </c>
      <c r="S10" s="22">
        <v>9</v>
      </c>
      <c r="T10" s="23">
        <v>1</v>
      </c>
      <c r="U10" s="22">
        <v>36</v>
      </c>
      <c r="V10" s="22">
        <v>36</v>
      </c>
      <c r="W10" s="22">
        <v>36</v>
      </c>
      <c r="X10" s="22" t="s">
        <v>132</v>
      </c>
      <c r="Y10" s="22" t="s">
        <v>44</v>
      </c>
      <c r="Z10" s="22" t="s">
        <v>133</v>
      </c>
      <c r="AA10" s="22">
        <v>831.44889000000001</v>
      </c>
      <c r="AB10" s="22">
        <v>1279.0074300000001</v>
      </c>
      <c r="AC10" s="22">
        <v>2858.02889</v>
      </c>
      <c r="AD10" s="22">
        <v>3436.01343</v>
      </c>
      <c r="AE10" s="22" t="s">
        <v>135</v>
      </c>
      <c r="AF10" s="22" t="s">
        <v>688</v>
      </c>
      <c r="AG10" s="22" t="s">
        <v>43</v>
      </c>
      <c r="AH10" s="30" t="b">
        <v>0</v>
      </c>
      <c r="AI10" s="22" t="s">
        <v>6</v>
      </c>
      <c r="AJ10" s="22" t="s">
        <v>600</v>
      </c>
    </row>
    <row r="11" spans="1:36" x14ac:dyDescent="0.25">
      <c r="A11" s="22" t="s">
        <v>758</v>
      </c>
      <c r="B11" s="22" t="s">
        <v>140</v>
      </c>
      <c r="C11" s="22">
        <v>1</v>
      </c>
      <c r="D11" s="22" t="s">
        <v>139</v>
      </c>
      <c r="E11" s="22" t="s">
        <v>6</v>
      </c>
      <c r="F11" s="22" t="s">
        <v>6</v>
      </c>
      <c r="G11" s="22" t="s">
        <v>629</v>
      </c>
      <c r="H11" s="22" t="s">
        <v>6</v>
      </c>
      <c r="I11" s="22" t="s">
        <v>143</v>
      </c>
      <c r="J11" s="22" t="s">
        <v>775</v>
      </c>
      <c r="K11" s="22">
        <v>2</v>
      </c>
      <c r="L11" s="22">
        <v>11</v>
      </c>
      <c r="M11" s="22">
        <v>11</v>
      </c>
      <c r="N11" s="22">
        <v>2</v>
      </c>
      <c r="O11" s="22">
        <v>7</v>
      </c>
      <c r="P11" s="23">
        <v>1</v>
      </c>
      <c r="Q11" s="22">
        <v>30</v>
      </c>
      <c r="R11" s="22">
        <v>3</v>
      </c>
      <c r="S11" s="22" t="s">
        <v>6</v>
      </c>
      <c r="T11" s="23">
        <v>1</v>
      </c>
      <c r="U11" s="22">
        <v>30</v>
      </c>
      <c r="V11" s="22">
        <v>3</v>
      </c>
      <c r="W11" s="22" t="s">
        <v>6</v>
      </c>
      <c r="X11" s="22" t="s">
        <v>144</v>
      </c>
      <c r="Y11" s="22" t="s">
        <v>27</v>
      </c>
      <c r="Z11" s="22" t="s">
        <v>6</v>
      </c>
      <c r="AA11" s="22">
        <v>13.3</v>
      </c>
      <c r="AB11" s="22" t="s">
        <v>6</v>
      </c>
      <c r="AC11" s="22">
        <v>16.7</v>
      </c>
      <c r="AD11" s="22" t="s">
        <v>6</v>
      </c>
      <c r="AE11" s="22" t="s">
        <v>6</v>
      </c>
      <c r="AF11" s="22" t="s">
        <v>147</v>
      </c>
      <c r="AG11" s="22" t="s">
        <v>6</v>
      </c>
      <c r="AH11" s="30" t="b">
        <v>0</v>
      </c>
      <c r="AI11" s="22" t="s">
        <v>6</v>
      </c>
      <c r="AJ11" s="22" t="s">
        <v>145</v>
      </c>
    </row>
    <row r="12" spans="1:36" x14ac:dyDescent="0.25">
      <c r="A12" s="22" t="s">
        <v>758</v>
      </c>
      <c r="B12" s="22" t="s">
        <v>140</v>
      </c>
      <c r="C12" s="22">
        <v>1</v>
      </c>
      <c r="D12" s="22" t="s">
        <v>139</v>
      </c>
      <c r="E12" s="22" t="s">
        <v>6</v>
      </c>
      <c r="F12" s="22" t="s">
        <v>6</v>
      </c>
      <c r="G12" s="22" t="s">
        <v>629</v>
      </c>
      <c r="H12" s="22" t="s">
        <v>6</v>
      </c>
      <c r="I12" s="22" t="s">
        <v>143</v>
      </c>
      <c r="J12" s="22" t="s">
        <v>774</v>
      </c>
      <c r="K12" s="22">
        <v>2</v>
      </c>
      <c r="L12" s="22">
        <v>11</v>
      </c>
      <c r="M12" s="22">
        <v>11</v>
      </c>
      <c r="N12" s="22">
        <v>2</v>
      </c>
      <c r="O12" s="22">
        <v>8</v>
      </c>
      <c r="P12" s="23">
        <v>1</v>
      </c>
      <c r="Q12" s="24">
        <f>30*13%</f>
        <v>3.9000000000000004</v>
      </c>
      <c r="R12" s="24">
        <v>3</v>
      </c>
      <c r="S12" s="24">
        <f>Q12</f>
        <v>3.9000000000000004</v>
      </c>
      <c r="T12" s="23">
        <v>1</v>
      </c>
      <c r="U12" s="24">
        <f>30*16.7%</f>
        <v>5.01</v>
      </c>
      <c r="V12" s="24">
        <v>3</v>
      </c>
      <c r="W12" s="24">
        <f>U12</f>
        <v>5.01</v>
      </c>
      <c r="X12" s="22" t="s">
        <v>146</v>
      </c>
      <c r="Y12" s="22" t="s">
        <v>44</v>
      </c>
      <c r="Z12" s="22" t="s">
        <v>51</v>
      </c>
      <c r="AA12" s="22">
        <v>35.229999999999997</v>
      </c>
      <c r="AB12" s="22">
        <v>18.07</v>
      </c>
      <c r="AC12" s="22">
        <v>67.23</v>
      </c>
      <c r="AD12" s="22">
        <v>36.32</v>
      </c>
      <c r="AE12" s="22" t="s">
        <v>6</v>
      </c>
      <c r="AF12" s="22" t="s">
        <v>147</v>
      </c>
      <c r="AG12" s="22" t="s">
        <v>6</v>
      </c>
      <c r="AH12" s="30" t="s">
        <v>671</v>
      </c>
      <c r="AI12" s="22" t="s">
        <v>696</v>
      </c>
      <c r="AJ12" s="22" t="s">
        <v>682</v>
      </c>
    </row>
    <row r="13" spans="1:36" x14ac:dyDescent="0.25">
      <c r="A13" s="22" t="s">
        <v>758</v>
      </c>
      <c r="B13" s="22" t="s">
        <v>148</v>
      </c>
      <c r="C13" s="22">
        <v>1</v>
      </c>
      <c r="D13" s="22" t="s">
        <v>615</v>
      </c>
      <c r="E13" s="22" t="s">
        <v>151</v>
      </c>
      <c r="F13" s="22" t="s">
        <v>734</v>
      </c>
      <c r="G13" s="22" t="s">
        <v>6</v>
      </c>
      <c r="H13" s="22" t="s">
        <v>728</v>
      </c>
      <c r="I13" s="22" t="s">
        <v>149</v>
      </c>
      <c r="J13" s="22" t="s">
        <v>24</v>
      </c>
      <c r="K13" s="22" t="s">
        <v>6</v>
      </c>
      <c r="L13" s="22">
        <v>98</v>
      </c>
      <c r="M13" s="22">
        <v>98</v>
      </c>
      <c r="N13" s="22">
        <v>3</v>
      </c>
      <c r="O13" s="22">
        <v>9</v>
      </c>
      <c r="P13" s="23">
        <v>1</v>
      </c>
      <c r="Q13" s="22">
        <v>22</v>
      </c>
      <c r="R13" s="22">
        <v>22</v>
      </c>
      <c r="S13" s="22" t="s">
        <v>6</v>
      </c>
      <c r="T13" s="23">
        <v>1</v>
      </c>
      <c r="U13" s="22">
        <v>23</v>
      </c>
      <c r="V13" s="22">
        <v>23</v>
      </c>
      <c r="W13" s="22" t="s">
        <v>6</v>
      </c>
      <c r="X13" s="22" t="s">
        <v>35</v>
      </c>
      <c r="Y13" s="22" t="s">
        <v>27</v>
      </c>
      <c r="Z13" s="22" t="s">
        <v>6</v>
      </c>
      <c r="AA13" s="22">
        <f>100-86</f>
        <v>14</v>
      </c>
      <c r="AB13" s="22" t="s">
        <v>6</v>
      </c>
      <c r="AC13" s="22">
        <f>100-22</f>
        <v>78</v>
      </c>
      <c r="AD13" s="22" t="s">
        <v>6</v>
      </c>
      <c r="AE13" s="22" t="s">
        <v>6</v>
      </c>
      <c r="AF13" s="22" t="s">
        <v>150</v>
      </c>
      <c r="AG13" s="22" t="s">
        <v>6</v>
      </c>
      <c r="AH13" s="30" t="b">
        <v>0</v>
      </c>
      <c r="AI13" s="22" t="s">
        <v>6</v>
      </c>
      <c r="AJ13" s="22" t="s">
        <v>152</v>
      </c>
    </row>
    <row r="14" spans="1:36" x14ac:dyDescent="0.25">
      <c r="A14" s="22" t="s">
        <v>758</v>
      </c>
      <c r="B14" s="22" t="s">
        <v>148</v>
      </c>
      <c r="C14" s="22">
        <v>1</v>
      </c>
      <c r="D14" s="22" t="s">
        <v>615</v>
      </c>
      <c r="E14" s="22" t="s">
        <v>151</v>
      </c>
      <c r="F14" s="22" t="s">
        <v>734</v>
      </c>
      <c r="G14" s="22" t="s">
        <v>6</v>
      </c>
      <c r="H14" s="22" t="s">
        <v>728</v>
      </c>
      <c r="I14" s="22" t="s">
        <v>149</v>
      </c>
      <c r="J14" s="22" t="s">
        <v>775</v>
      </c>
      <c r="K14" s="22">
        <v>13</v>
      </c>
      <c r="L14" s="22">
        <v>14</v>
      </c>
      <c r="M14" s="22">
        <v>14</v>
      </c>
      <c r="N14" s="22">
        <v>3</v>
      </c>
      <c r="O14" s="22">
        <v>10</v>
      </c>
      <c r="P14" s="23">
        <v>1</v>
      </c>
      <c r="Q14" s="22">
        <v>22</v>
      </c>
      <c r="R14" s="22">
        <v>22</v>
      </c>
      <c r="S14" s="22" t="s">
        <v>6</v>
      </c>
      <c r="T14" s="23">
        <v>1</v>
      </c>
      <c r="U14" s="22">
        <v>23</v>
      </c>
      <c r="V14" s="22">
        <v>23</v>
      </c>
      <c r="W14" s="22" t="s">
        <v>6</v>
      </c>
      <c r="X14" s="22" t="s">
        <v>699</v>
      </c>
      <c r="Y14" s="22" t="s">
        <v>27</v>
      </c>
      <c r="Z14" s="22" t="s">
        <v>6</v>
      </c>
      <c r="AA14" s="22">
        <v>100</v>
      </c>
      <c r="AB14" s="22" t="s">
        <v>6</v>
      </c>
      <c r="AC14" s="22">
        <v>100</v>
      </c>
      <c r="AD14" s="22" t="s">
        <v>6</v>
      </c>
      <c r="AE14" s="22" t="s">
        <v>697</v>
      </c>
      <c r="AF14" s="22" t="s">
        <v>157</v>
      </c>
      <c r="AG14" s="22" t="s">
        <v>6</v>
      </c>
      <c r="AH14" s="30" t="b">
        <v>0</v>
      </c>
      <c r="AI14" s="22" t="s">
        <v>6</v>
      </c>
      <c r="AJ14" s="22" t="s">
        <v>698</v>
      </c>
    </row>
    <row r="15" spans="1:36" x14ac:dyDescent="0.25">
      <c r="A15" s="22" t="s">
        <v>758</v>
      </c>
      <c r="B15" s="22" t="s">
        <v>148</v>
      </c>
      <c r="C15" s="22">
        <v>1</v>
      </c>
      <c r="D15" s="22" t="s">
        <v>615</v>
      </c>
      <c r="E15" s="22" t="s">
        <v>151</v>
      </c>
      <c r="F15" s="22" t="s">
        <v>734</v>
      </c>
      <c r="G15" s="22" t="s">
        <v>6</v>
      </c>
      <c r="H15" s="22" t="s">
        <v>728</v>
      </c>
      <c r="I15" s="22" t="s">
        <v>149</v>
      </c>
      <c r="J15" s="22" t="s">
        <v>774</v>
      </c>
      <c r="K15" s="22">
        <v>13</v>
      </c>
      <c r="L15" s="22">
        <f>5.863636*7</f>
        <v>41.045451999999997</v>
      </c>
      <c r="M15" s="22">
        <f>6.73913*7</f>
        <v>47.173909999999999</v>
      </c>
      <c r="N15" s="22">
        <v>3</v>
      </c>
      <c r="O15" s="22">
        <v>11</v>
      </c>
      <c r="P15" s="23">
        <v>1</v>
      </c>
      <c r="Q15" s="22">
        <v>22</v>
      </c>
      <c r="R15" s="22">
        <v>22</v>
      </c>
      <c r="S15" s="22">
        <v>22</v>
      </c>
      <c r="T15" s="23">
        <v>1</v>
      </c>
      <c r="U15" s="22">
        <v>23</v>
      </c>
      <c r="V15" s="22">
        <v>23</v>
      </c>
      <c r="W15" s="22">
        <v>23</v>
      </c>
      <c r="X15" s="22" t="s">
        <v>159</v>
      </c>
      <c r="Y15" s="22" t="s">
        <v>153</v>
      </c>
      <c r="Z15" s="22" t="s">
        <v>133</v>
      </c>
      <c r="AA15" s="22">
        <v>608585.80000000005</v>
      </c>
      <c r="AB15" s="22">
        <v>2267492.46</v>
      </c>
      <c r="AC15" s="22">
        <v>2509267.46</v>
      </c>
      <c r="AD15" s="22">
        <v>3861661.99</v>
      </c>
      <c r="AE15" s="22" t="s">
        <v>697</v>
      </c>
      <c r="AF15" s="22" t="s">
        <v>157</v>
      </c>
      <c r="AG15" s="22" t="s">
        <v>6</v>
      </c>
      <c r="AH15" s="30" t="b">
        <v>0</v>
      </c>
      <c r="AI15" s="22" t="s">
        <v>6</v>
      </c>
      <c r="AJ15" s="22" t="s">
        <v>700</v>
      </c>
    </row>
    <row r="16" spans="1:36" x14ac:dyDescent="0.25">
      <c r="A16" s="22" t="s">
        <v>758</v>
      </c>
      <c r="B16" s="22" t="s">
        <v>148</v>
      </c>
      <c r="C16" s="22">
        <v>2</v>
      </c>
      <c r="D16" s="22" t="s">
        <v>615</v>
      </c>
      <c r="E16" s="22" t="s">
        <v>151</v>
      </c>
      <c r="F16" s="22" t="s">
        <v>734</v>
      </c>
      <c r="G16" s="22" t="s">
        <v>6</v>
      </c>
      <c r="H16" s="22" t="s">
        <v>728</v>
      </c>
      <c r="I16" s="22" t="s">
        <v>149</v>
      </c>
      <c r="J16" s="22" t="s">
        <v>24</v>
      </c>
      <c r="K16" s="22" t="s">
        <v>6</v>
      </c>
      <c r="L16" s="22">
        <v>105</v>
      </c>
      <c r="M16" s="22">
        <v>105</v>
      </c>
      <c r="N16" s="22">
        <v>4</v>
      </c>
      <c r="O16" s="22">
        <v>12</v>
      </c>
      <c r="P16" s="23">
        <v>1</v>
      </c>
      <c r="Q16" s="22">
        <v>40</v>
      </c>
      <c r="R16" s="22">
        <v>4</v>
      </c>
      <c r="S16" s="22" t="s">
        <v>6</v>
      </c>
      <c r="T16" s="23">
        <v>1</v>
      </c>
      <c r="U16" s="22">
        <v>40</v>
      </c>
      <c r="V16" s="22">
        <v>4</v>
      </c>
      <c r="W16" s="22" t="s">
        <v>6</v>
      </c>
      <c r="X16" s="22" t="s">
        <v>154</v>
      </c>
      <c r="Y16" s="22" t="s">
        <v>27</v>
      </c>
      <c r="Z16" s="22" t="s">
        <v>6</v>
      </c>
      <c r="AA16" s="22">
        <f>(1-(29/40))*100</f>
        <v>27.500000000000004</v>
      </c>
      <c r="AB16" s="22" t="s">
        <v>6</v>
      </c>
      <c r="AC16" s="22">
        <f>(1-(30/40))*100</f>
        <v>25</v>
      </c>
      <c r="AD16" s="22" t="s">
        <v>6</v>
      </c>
      <c r="AE16" s="22" t="s">
        <v>155</v>
      </c>
      <c r="AF16" s="22" t="s">
        <v>634</v>
      </c>
      <c r="AG16" s="22" t="s">
        <v>6</v>
      </c>
      <c r="AH16" s="30" t="b">
        <v>0</v>
      </c>
      <c r="AI16" s="22" t="s">
        <v>6</v>
      </c>
      <c r="AJ16" s="22" t="s">
        <v>156</v>
      </c>
    </row>
    <row r="17" spans="1:36" x14ac:dyDescent="0.25">
      <c r="A17" s="22" t="s">
        <v>758</v>
      </c>
      <c r="B17" s="22" t="s">
        <v>148</v>
      </c>
      <c r="C17" s="22">
        <v>3</v>
      </c>
      <c r="D17" s="22" t="s">
        <v>615</v>
      </c>
      <c r="E17" s="22" t="s">
        <v>151</v>
      </c>
      <c r="F17" s="22" t="s">
        <v>734</v>
      </c>
      <c r="G17" s="22" t="s">
        <v>6</v>
      </c>
      <c r="H17" s="22" t="s">
        <v>728</v>
      </c>
      <c r="I17" s="22" t="s">
        <v>149</v>
      </c>
      <c r="J17" s="22" t="s">
        <v>24</v>
      </c>
      <c r="K17" s="22" t="s">
        <v>6</v>
      </c>
      <c r="L17" s="22">
        <v>105</v>
      </c>
      <c r="M17" s="22">
        <v>105</v>
      </c>
      <c r="N17" s="22">
        <v>5</v>
      </c>
      <c r="O17" s="22">
        <v>13</v>
      </c>
      <c r="P17" s="23">
        <v>1</v>
      </c>
      <c r="Q17" s="22">
        <v>40</v>
      </c>
      <c r="R17" s="22">
        <v>4</v>
      </c>
      <c r="S17" s="22" t="s">
        <v>6</v>
      </c>
      <c r="T17" s="23">
        <v>1</v>
      </c>
      <c r="U17" s="22">
        <v>40</v>
      </c>
      <c r="V17" s="22">
        <v>4</v>
      </c>
      <c r="W17" s="22" t="s">
        <v>6</v>
      </c>
      <c r="X17" s="22" t="s">
        <v>154</v>
      </c>
      <c r="Y17" s="22" t="s">
        <v>27</v>
      </c>
      <c r="Z17" s="22" t="s">
        <v>6</v>
      </c>
      <c r="AA17" s="22">
        <f>(1-(32/40))*100</f>
        <v>19.999999999999996</v>
      </c>
      <c r="AB17" s="22" t="s">
        <v>6</v>
      </c>
      <c r="AC17" s="22">
        <f>(1-(26/40))*100</f>
        <v>35</v>
      </c>
      <c r="AD17" s="22" t="s">
        <v>6</v>
      </c>
      <c r="AE17" s="22" t="s">
        <v>155</v>
      </c>
      <c r="AF17" s="22" t="s">
        <v>634</v>
      </c>
      <c r="AG17" s="22" t="s">
        <v>6</v>
      </c>
      <c r="AH17" s="30" t="b">
        <v>0</v>
      </c>
      <c r="AI17" s="22" t="s">
        <v>6</v>
      </c>
      <c r="AJ17" s="22" t="s">
        <v>156</v>
      </c>
    </row>
    <row r="18" spans="1:36" x14ac:dyDescent="0.25">
      <c r="A18" s="22" t="s">
        <v>758</v>
      </c>
      <c r="B18" s="22" t="s">
        <v>148</v>
      </c>
      <c r="C18" s="22">
        <v>2</v>
      </c>
      <c r="D18" s="22" t="s">
        <v>615</v>
      </c>
      <c r="E18" s="22" t="s">
        <v>151</v>
      </c>
      <c r="F18" s="22" t="s">
        <v>734</v>
      </c>
      <c r="G18" s="22" t="s">
        <v>6</v>
      </c>
      <c r="H18" s="22" t="s">
        <v>728</v>
      </c>
      <c r="I18" s="22" t="s">
        <v>149</v>
      </c>
      <c r="J18" s="22" t="s">
        <v>775</v>
      </c>
      <c r="K18" s="22">
        <v>7</v>
      </c>
      <c r="L18" s="22">
        <v>42</v>
      </c>
      <c r="M18" s="22">
        <v>42</v>
      </c>
      <c r="N18" s="22">
        <v>4</v>
      </c>
      <c r="O18" s="22">
        <v>14</v>
      </c>
      <c r="P18" s="23">
        <v>1</v>
      </c>
      <c r="Q18" s="22">
        <v>33</v>
      </c>
      <c r="R18" s="22">
        <v>4</v>
      </c>
      <c r="S18" s="22" t="s">
        <v>6</v>
      </c>
      <c r="T18" s="23">
        <v>1</v>
      </c>
      <c r="U18" s="22">
        <v>31</v>
      </c>
      <c r="V18" s="22">
        <v>4</v>
      </c>
      <c r="W18" s="22" t="s">
        <v>6</v>
      </c>
      <c r="X18" s="22" t="s">
        <v>701</v>
      </c>
      <c r="Y18" s="22" t="s">
        <v>27</v>
      </c>
      <c r="Z18" s="22" t="s">
        <v>6</v>
      </c>
      <c r="AA18" s="22">
        <f>28/33%</f>
        <v>84.848484848484844</v>
      </c>
      <c r="AB18" s="22" t="s">
        <v>6</v>
      </c>
      <c r="AC18" s="22">
        <f>29/31%</f>
        <v>93.548387096774192</v>
      </c>
      <c r="AD18" s="22" t="s">
        <v>6</v>
      </c>
      <c r="AE18" s="22" t="s">
        <v>703</v>
      </c>
      <c r="AF18" s="22" t="s">
        <v>158</v>
      </c>
      <c r="AG18" s="22" t="s">
        <v>6</v>
      </c>
      <c r="AH18" s="30" t="b">
        <v>0</v>
      </c>
      <c r="AI18" s="22" t="s">
        <v>6</v>
      </c>
      <c r="AJ18" s="22" t="s">
        <v>702</v>
      </c>
    </row>
    <row r="19" spans="1:36" x14ac:dyDescent="0.25">
      <c r="A19" s="22" t="s">
        <v>758</v>
      </c>
      <c r="B19" s="22" t="s">
        <v>148</v>
      </c>
      <c r="C19" s="22">
        <v>3</v>
      </c>
      <c r="D19" s="22" t="s">
        <v>615</v>
      </c>
      <c r="E19" s="22" t="s">
        <v>151</v>
      </c>
      <c r="F19" s="22" t="s">
        <v>734</v>
      </c>
      <c r="G19" s="22" t="s">
        <v>6</v>
      </c>
      <c r="H19" s="22" t="s">
        <v>728</v>
      </c>
      <c r="I19" s="22" t="s">
        <v>149</v>
      </c>
      <c r="J19" s="22" t="s">
        <v>775</v>
      </c>
      <c r="K19" s="22">
        <v>7</v>
      </c>
      <c r="L19" s="22">
        <v>42</v>
      </c>
      <c r="M19" s="22">
        <v>42</v>
      </c>
      <c r="N19" s="22">
        <v>5</v>
      </c>
      <c r="O19" s="22">
        <v>15</v>
      </c>
      <c r="P19" s="23">
        <v>1</v>
      </c>
      <c r="Q19" s="22">
        <v>32</v>
      </c>
      <c r="R19" s="22">
        <v>4</v>
      </c>
      <c r="S19" s="22" t="s">
        <v>6</v>
      </c>
      <c r="T19" s="23">
        <v>1</v>
      </c>
      <c r="U19" s="22">
        <v>25</v>
      </c>
      <c r="V19" s="22">
        <v>4</v>
      </c>
      <c r="W19" s="22" t="s">
        <v>6</v>
      </c>
      <c r="X19" s="22" t="s">
        <v>701</v>
      </c>
      <c r="Y19" s="22" t="s">
        <v>27</v>
      </c>
      <c r="Z19" s="22" t="s">
        <v>6</v>
      </c>
      <c r="AA19" s="22">
        <f>31/32%</f>
        <v>96.875</v>
      </c>
      <c r="AB19" s="22" t="s">
        <v>6</v>
      </c>
      <c r="AC19" s="22">
        <f>25/25%</f>
        <v>100</v>
      </c>
      <c r="AD19" s="22" t="s">
        <v>6</v>
      </c>
      <c r="AE19" s="22" t="s">
        <v>704</v>
      </c>
      <c r="AF19" s="22" t="s">
        <v>158</v>
      </c>
      <c r="AG19" s="22" t="s">
        <v>6</v>
      </c>
      <c r="AH19" s="30" t="b">
        <v>0</v>
      </c>
      <c r="AI19" s="22" t="s">
        <v>6</v>
      </c>
      <c r="AJ19" s="22" t="s">
        <v>702</v>
      </c>
    </row>
    <row r="20" spans="1:36" x14ac:dyDescent="0.25">
      <c r="A20" s="22" t="s">
        <v>758</v>
      </c>
      <c r="B20" s="22" t="s">
        <v>148</v>
      </c>
      <c r="C20" s="22">
        <v>2</v>
      </c>
      <c r="D20" s="22" t="s">
        <v>615</v>
      </c>
      <c r="E20" s="22" t="s">
        <v>151</v>
      </c>
      <c r="F20" s="22" t="s">
        <v>734</v>
      </c>
      <c r="G20" s="22" t="s">
        <v>6</v>
      </c>
      <c r="H20" s="22" t="s">
        <v>728</v>
      </c>
      <c r="I20" s="22" t="s">
        <v>149</v>
      </c>
      <c r="J20" s="22" t="s">
        <v>774</v>
      </c>
      <c r="K20" s="22">
        <v>7</v>
      </c>
      <c r="L20" s="22">
        <f>6*7</f>
        <v>42</v>
      </c>
      <c r="M20" s="22">
        <f>6*7</f>
        <v>42</v>
      </c>
      <c r="N20" s="22">
        <v>4</v>
      </c>
      <c r="O20" s="22">
        <v>16</v>
      </c>
      <c r="P20" s="23">
        <v>1</v>
      </c>
      <c r="Q20" s="22">
        <v>28</v>
      </c>
      <c r="R20" s="22">
        <v>4</v>
      </c>
      <c r="S20" s="22">
        <v>28</v>
      </c>
      <c r="T20" s="23">
        <v>1</v>
      </c>
      <c r="U20" s="22">
        <v>29</v>
      </c>
      <c r="V20" s="22">
        <v>4</v>
      </c>
      <c r="W20" s="22">
        <v>29</v>
      </c>
      <c r="X20" s="22" t="s">
        <v>706</v>
      </c>
      <c r="Y20" s="22" t="s">
        <v>153</v>
      </c>
      <c r="Z20" s="22" t="s">
        <v>133</v>
      </c>
      <c r="AA20" s="22">
        <v>269607.2</v>
      </c>
      <c r="AB20" s="22">
        <v>795588.3</v>
      </c>
      <c r="AC20" s="22">
        <v>996229.4</v>
      </c>
      <c r="AD20" s="22">
        <v>3800410.8</v>
      </c>
      <c r="AE20" s="22" t="s">
        <v>703</v>
      </c>
      <c r="AF20" s="22" t="s">
        <v>158</v>
      </c>
      <c r="AG20" s="22" t="s">
        <v>6</v>
      </c>
      <c r="AH20" s="30" t="b">
        <v>0</v>
      </c>
      <c r="AI20" s="22" t="s">
        <v>6</v>
      </c>
      <c r="AJ20" s="22" t="s">
        <v>705</v>
      </c>
    </row>
    <row r="21" spans="1:36" x14ac:dyDescent="0.25">
      <c r="A21" s="22" t="s">
        <v>758</v>
      </c>
      <c r="B21" s="22" t="s">
        <v>148</v>
      </c>
      <c r="C21" s="22">
        <v>3</v>
      </c>
      <c r="D21" s="22" t="s">
        <v>615</v>
      </c>
      <c r="E21" s="22" t="s">
        <v>151</v>
      </c>
      <c r="F21" s="22" t="s">
        <v>734</v>
      </c>
      <c r="G21" s="22" t="s">
        <v>6</v>
      </c>
      <c r="H21" s="22" t="s">
        <v>728</v>
      </c>
      <c r="I21" s="22" t="s">
        <v>149</v>
      </c>
      <c r="J21" s="22" t="s">
        <v>774</v>
      </c>
      <c r="K21" s="22">
        <v>7</v>
      </c>
      <c r="L21" s="22">
        <f>6*7</f>
        <v>42</v>
      </c>
      <c r="M21" s="22">
        <f>8*7</f>
        <v>56</v>
      </c>
      <c r="N21" s="22">
        <v>5</v>
      </c>
      <c r="O21" s="22">
        <v>17</v>
      </c>
      <c r="P21" s="23">
        <v>1</v>
      </c>
      <c r="Q21" s="22">
        <v>31</v>
      </c>
      <c r="R21" s="22">
        <v>4</v>
      </c>
      <c r="S21" s="22">
        <v>31</v>
      </c>
      <c r="T21" s="23">
        <v>1</v>
      </c>
      <c r="U21" s="22">
        <v>26</v>
      </c>
      <c r="V21" s="22">
        <v>4</v>
      </c>
      <c r="W21" s="22">
        <v>26</v>
      </c>
      <c r="X21" s="22" t="s">
        <v>706</v>
      </c>
      <c r="Y21" s="22" t="s">
        <v>153</v>
      </c>
      <c r="Z21" s="22" t="s">
        <v>133</v>
      </c>
      <c r="AA21" s="22">
        <v>251049.4</v>
      </c>
      <c r="AB21" s="22">
        <v>681058.1</v>
      </c>
      <c r="AC21" s="22">
        <v>1967601.7</v>
      </c>
      <c r="AD21" s="22">
        <v>8907904.0999999996</v>
      </c>
      <c r="AE21" s="22" t="s">
        <v>704</v>
      </c>
      <c r="AF21" s="22" t="s">
        <v>158</v>
      </c>
      <c r="AG21" s="22" t="s">
        <v>6</v>
      </c>
      <c r="AH21" s="30" t="b">
        <v>0</v>
      </c>
      <c r="AI21" s="22" t="s">
        <v>6</v>
      </c>
      <c r="AJ21" s="22" t="s">
        <v>705</v>
      </c>
    </row>
    <row r="22" spans="1:36" x14ac:dyDescent="0.25">
      <c r="A22" s="22" t="s">
        <v>758</v>
      </c>
      <c r="B22" s="22" t="s">
        <v>162</v>
      </c>
      <c r="C22" s="22">
        <v>1</v>
      </c>
      <c r="D22" s="22" t="s">
        <v>615</v>
      </c>
      <c r="E22" s="22" t="s">
        <v>165</v>
      </c>
      <c r="F22" s="22" t="s">
        <v>734</v>
      </c>
      <c r="G22" s="22" t="s">
        <v>6</v>
      </c>
      <c r="H22" s="22" t="s">
        <v>732</v>
      </c>
      <c r="I22" s="22" t="s">
        <v>164</v>
      </c>
      <c r="J22" s="22" t="s">
        <v>24</v>
      </c>
      <c r="K22" s="22" t="s">
        <v>6</v>
      </c>
      <c r="L22" s="22">
        <f>12*7</f>
        <v>84</v>
      </c>
      <c r="M22" s="22">
        <f>7*7</f>
        <v>49</v>
      </c>
      <c r="N22" s="22">
        <v>7</v>
      </c>
      <c r="O22" s="22">
        <v>19</v>
      </c>
      <c r="P22" s="23">
        <v>1</v>
      </c>
      <c r="Q22" s="22">
        <v>9</v>
      </c>
      <c r="R22" s="22">
        <v>9</v>
      </c>
      <c r="S22" s="22" t="s">
        <v>6</v>
      </c>
      <c r="T22" s="23">
        <v>1</v>
      </c>
      <c r="U22" s="22">
        <v>11</v>
      </c>
      <c r="V22" s="22">
        <v>11</v>
      </c>
      <c r="W22" s="22" t="s">
        <v>6</v>
      </c>
      <c r="X22" s="22" t="s">
        <v>35</v>
      </c>
      <c r="Y22" s="22" t="s">
        <v>27</v>
      </c>
      <c r="Z22" s="22" t="s">
        <v>6</v>
      </c>
      <c r="AA22" s="22">
        <f>2/9%</f>
        <v>22.222222222222221</v>
      </c>
      <c r="AB22" s="22" t="s">
        <v>6</v>
      </c>
      <c r="AC22" s="22">
        <v>100</v>
      </c>
      <c r="AD22" s="22" t="s">
        <v>6</v>
      </c>
      <c r="AE22" s="22" t="s">
        <v>6</v>
      </c>
      <c r="AF22" s="22" t="s">
        <v>167</v>
      </c>
      <c r="AG22" s="22" t="s">
        <v>171</v>
      </c>
      <c r="AH22" s="30" t="b">
        <v>0</v>
      </c>
      <c r="AI22" s="22" t="s">
        <v>6</v>
      </c>
      <c r="AJ22" s="22" t="s">
        <v>6</v>
      </c>
    </row>
    <row r="23" spans="1:36" x14ac:dyDescent="0.25">
      <c r="A23" s="22" t="s">
        <v>758</v>
      </c>
      <c r="B23" s="22" t="s">
        <v>162</v>
      </c>
      <c r="C23" s="22">
        <v>1</v>
      </c>
      <c r="D23" s="22" t="s">
        <v>615</v>
      </c>
      <c r="E23" s="22" t="s">
        <v>165</v>
      </c>
      <c r="F23" s="22" t="s">
        <v>734</v>
      </c>
      <c r="G23" s="22" t="s">
        <v>6</v>
      </c>
      <c r="H23" s="22" t="s">
        <v>732</v>
      </c>
      <c r="I23" s="22" t="s">
        <v>164</v>
      </c>
      <c r="J23" s="22" t="s">
        <v>775</v>
      </c>
      <c r="K23" s="22">
        <v>12</v>
      </c>
      <c r="L23" s="22">
        <f>4*7</f>
        <v>28</v>
      </c>
      <c r="M23" s="22">
        <f>4*7</f>
        <v>28</v>
      </c>
      <c r="N23" s="22">
        <v>7</v>
      </c>
      <c r="O23" s="22">
        <v>20</v>
      </c>
      <c r="P23" s="23">
        <v>1</v>
      </c>
      <c r="Q23" s="22">
        <v>9</v>
      </c>
      <c r="R23" s="22">
        <v>9</v>
      </c>
      <c r="S23" s="22" t="s">
        <v>6</v>
      </c>
      <c r="T23" s="23">
        <v>1</v>
      </c>
      <c r="U23" s="22">
        <v>11</v>
      </c>
      <c r="V23" s="22">
        <v>11</v>
      </c>
      <c r="W23" s="22" t="s">
        <v>6</v>
      </c>
      <c r="X23" s="22" t="s">
        <v>166</v>
      </c>
      <c r="Y23" s="22" t="s">
        <v>27</v>
      </c>
      <c r="Z23" s="22" t="s">
        <v>6</v>
      </c>
      <c r="AA23" s="22">
        <f>9/9%</f>
        <v>100</v>
      </c>
      <c r="AB23" s="22" t="s">
        <v>6</v>
      </c>
      <c r="AC23" s="22">
        <f>11/11%</f>
        <v>100</v>
      </c>
      <c r="AD23" s="22" t="s">
        <v>6</v>
      </c>
      <c r="AE23" s="22" t="s">
        <v>6</v>
      </c>
      <c r="AF23" s="22" t="s">
        <v>168</v>
      </c>
      <c r="AG23" s="22" t="s">
        <v>171</v>
      </c>
      <c r="AH23" s="30" t="b">
        <v>0</v>
      </c>
      <c r="AI23" s="22" t="s">
        <v>6</v>
      </c>
      <c r="AJ23" s="22" t="s">
        <v>6</v>
      </c>
    </row>
    <row r="24" spans="1:36" x14ac:dyDescent="0.25">
      <c r="A24" s="22" t="s">
        <v>758</v>
      </c>
      <c r="B24" s="22" t="s">
        <v>162</v>
      </c>
      <c r="C24" s="22">
        <v>1</v>
      </c>
      <c r="D24" s="22" t="s">
        <v>615</v>
      </c>
      <c r="E24" s="22" t="s">
        <v>165</v>
      </c>
      <c r="F24" s="22" t="s">
        <v>734</v>
      </c>
      <c r="G24" s="22" t="s">
        <v>6</v>
      </c>
      <c r="H24" s="22" t="s">
        <v>732</v>
      </c>
      <c r="I24" s="22" t="s">
        <v>164</v>
      </c>
      <c r="J24" s="22" t="s">
        <v>774</v>
      </c>
      <c r="K24" s="22">
        <v>12</v>
      </c>
      <c r="L24" s="22">
        <v>48.22222</v>
      </c>
      <c r="M24" s="22">
        <v>41.363639999999997</v>
      </c>
      <c r="N24" s="22">
        <v>7</v>
      </c>
      <c r="O24" s="22">
        <v>21</v>
      </c>
      <c r="P24" s="23">
        <v>1</v>
      </c>
      <c r="Q24" s="22">
        <v>9</v>
      </c>
      <c r="R24" s="22">
        <v>9</v>
      </c>
      <c r="S24" s="22">
        <v>9</v>
      </c>
      <c r="T24" s="23">
        <v>1</v>
      </c>
      <c r="U24" s="22">
        <v>11</v>
      </c>
      <c r="V24" s="22">
        <v>11</v>
      </c>
      <c r="W24" s="22">
        <v>11</v>
      </c>
      <c r="X24" s="22" t="s">
        <v>169</v>
      </c>
      <c r="Y24" s="22" t="s">
        <v>44</v>
      </c>
      <c r="Z24" s="22" t="s">
        <v>133</v>
      </c>
      <c r="AA24" s="22">
        <v>6148.8890000000001</v>
      </c>
      <c r="AB24" s="22">
        <v>12378.36</v>
      </c>
      <c r="AC24" s="22">
        <v>111105.909</v>
      </c>
      <c r="AD24" s="22">
        <v>143771.28</v>
      </c>
      <c r="AE24" s="22" t="s">
        <v>6</v>
      </c>
      <c r="AF24" s="22" t="s">
        <v>170</v>
      </c>
      <c r="AG24" s="22" t="s">
        <v>171</v>
      </c>
      <c r="AH24" s="30" t="b">
        <v>0</v>
      </c>
      <c r="AI24" s="22" t="s">
        <v>6</v>
      </c>
      <c r="AJ24" s="22" t="s">
        <v>6</v>
      </c>
    </row>
    <row r="25" spans="1:36" ht="20" customHeight="1" x14ac:dyDescent="0.25">
      <c r="A25" s="22" t="s">
        <v>758</v>
      </c>
      <c r="B25" s="22" t="s">
        <v>162</v>
      </c>
      <c r="C25" s="22">
        <v>2</v>
      </c>
      <c r="D25" s="22" t="s">
        <v>615</v>
      </c>
      <c r="E25" s="22" t="s">
        <v>172</v>
      </c>
      <c r="F25" s="22" t="s">
        <v>733</v>
      </c>
      <c r="G25" s="22" t="s">
        <v>6</v>
      </c>
      <c r="H25" s="22" t="s">
        <v>730</v>
      </c>
      <c r="I25" s="22" t="s">
        <v>127</v>
      </c>
      <c r="J25" s="22" t="s">
        <v>24</v>
      </c>
      <c r="K25" s="22" t="s">
        <v>6</v>
      </c>
      <c r="L25" s="22">
        <f>20*7</f>
        <v>140</v>
      </c>
      <c r="M25" s="22">
        <f>20*7</f>
        <v>140</v>
      </c>
      <c r="N25" s="22">
        <v>8</v>
      </c>
      <c r="O25" s="22">
        <v>22</v>
      </c>
      <c r="P25" s="23">
        <v>1</v>
      </c>
      <c r="Q25" s="22">
        <v>12</v>
      </c>
      <c r="R25" s="22">
        <v>12</v>
      </c>
      <c r="S25" s="22" t="s">
        <v>6</v>
      </c>
      <c r="T25" s="23">
        <v>1</v>
      </c>
      <c r="U25" s="22">
        <v>12</v>
      </c>
      <c r="V25" s="22">
        <v>12</v>
      </c>
      <c r="W25" s="22" t="s">
        <v>6</v>
      </c>
      <c r="X25" s="22" t="s">
        <v>35</v>
      </c>
      <c r="Y25" s="22" t="s">
        <v>27</v>
      </c>
      <c r="Z25" s="22" t="s">
        <v>6</v>
      </c>
      <c r="AA25" s="22">
        <f>1/12%</f>
        <v>8.3333333333333339</v>
      </c>
      <c r="AB25" s="22" t="s">
        <v>6</v>
      </c>
      <c r="AC25" s="22">
        <f>7/12%</f>
        <v>58.333333333333336</v>
      </c>
      <c r="AD25" s="22" t="s">
        <v>6</v>
      </c>
      <c r="AE25" s="22" t="s">
        <v>174</v>
      </c>
      <c r="AF25" s="22" t="s">
        <v>176</v>
      </c>
      <c r="AG25" s="22" t="s">
        <v>171</v>
      </c>
      <c r="AH25" s="30" t="b">
        <v>0</v>
      </c>
      <c r="AI25" s="22" t="s">
        <v>6</v>
      </c>
      <c r="AJ25" s="22" t="s">
        <v>6</v>
      </c>
    </row>
    <row r="26" spans="1:36" ht="17" customHeight="1" x14ac:dyDescent="0.25">
      <c r="A26" s="22" t="s">
        <v>758</v>
      </c>
      <c r="B26" s="22" t="s">
        <v>162</v>
      </c>
      <c r="C26" s="22">
        <v>2</v>
      </c>
      <c r="D26" s="22" t="s">
        <v>761</v>
      </c>
      <c r="E26" s="22" t="s">
        <v>6</v>
      </c>
      <c r="F26" s="22" t="s">
        <v>6</v>
      </c>
      <c r="G26" s="22" t="s">
        <v>6</v>
      </c>
      <c r="H26" s="22" t="s">
        <v>6</v>
      </c>
      <c r="I26" s="22" t="s">
        <v>6</v>
      </c>
      <c r="J26" s="22" t="s">
        <v>24</v>
      </c>
      <c r="K26" s="22" t="s">
        <v>6</v>
      </c>
      <c r="L26" s="22">
        <f>20*7</f>
        <v>140</v>
      </c>
      <c r="M26" s="22">
        <f>20*7</f>
        <v>140</v>
      </c>
      <c r="N26" s="22">
        <v>8</v>
      </c>
      <c r="O26" s="22">
        <v>22</v>
      </c>
      <c r="P26" s="23">
        <v>2</v>
      </c>
      <c r="Q26" s="22">
        <v>12</v>
      </c>
      <c r="R26" s="22">
        <v>12</v>
      </c>
      <c r="S26" s="22" t="s">
        <v>6</v>
      </c>
      <c r="T26" s="23">
        <v>2</v>
      </c>
      <c r="U26" s="22">
        <v>12</v>
      </c>
      <c r="V26" s="22">
        <v>12</v>
      </c>
      <c r="W26" s="22" t="s">
        <v>6</v>
      </c>
      <c r="X26" s="22" t="s">
        <v>35</v>
      </c>
      <c r="Y26" s="22" t="s">
        <v>27</v>
      </c>
      <c r="Z26" s="22" t="s">
        <v>6</v>
      </c>
      <c r="AA26" s="22">
        <f>7/12%</f>
        <v>58.333333333333336</v>
      </c>
      <c r="AB26" s="22" t="s">
        <v>6</v>
      </c>
      <c r="AC26" s="22">
        <f>7/12%</f>
        <v>58.333333333333336</v>
      </c>
      <c r="AD26" s="22" t="s">
        <v>6</v>
      </c>
      <c r="AE26" s="22" t="s">
        <v>175</v>
      </c>
      <c r="AF26" s="22" t="s">
        <v>179</v>
      </c>
      <c r="AG26" s="22" t="s">
        <v>171</v>
      </c>
      <c r="AH26" s="30" t="b">
        <v>0</v>
      </c>
      <c r="AI26" s="22" t="s">
        <v>6</v>
      </c>
      <c r="AJ26" s="22" t="s">
        <v>636</v>
      </c>
    </row>
    <row r="27" spans="1:36" ht="17" customHeight="1" x14ac:dyDescent="0.25">
      <c r="A27" s="22" t="s">
        <v>758</v>
      </c>
      <c r="B27" s="22" t="s">
        <v>162</v>
      </c>
      <c r="C27" s="22">
        <v>2</v>
      </c>
      <c r="D27" s="22" t="s">
        <v>615</v>
      </c>
      <c r="E27" s="22" t="s">
        <v>172</v>
      </c>
      <c r="F27" s="22" t="s">
        <v>733</v>
      </c>
      <c r="G27" s="22" t="s">
        <v>6</v>
      </c>
      <c r="H27" s="22" t="s">
        <v>730</v>
      </c>
      <c r="I27" s="22" t="s">
        <v>127</v>
      </c>
      <c r="J27" s="22" t="s">
        <v>775</v>
      </c>
      <c r="K27" s="22">
        <v>20</v>
      </c>
      <c r="L27" s="22">
        <v>14</v>
      </c>
      <c r="M27" s="22">
        <v>14</v>
      </c>
      <c r="N27" s="22">
        <v>8</v>
      </c>
      <c r="O27" s="22">
        <v>23</v>
      </c>
      <c r="P27" s="23">
        <v>1</v>
      </c>
      <c r="Q27" s="22">
        <v>12</v>
      </c>
      <c r="R27" s="22">
        <v>12</v>
      </c>
      <c r="S27" s="22" t="s">
        <v>6</v>
      </c>
      <c r="T27" s="23">
        <v>1</v>
      </c>
      <c r="U27" s="22">
        <v>12</v>
      </c>
      <c r="V27" s="22">
        <v>12</v>
      </c>
      <c r="W27" s="22" t="s">
        <v>6</v>
      </c>
      <c r="X27" s="22" t="s">
        <v>166</v>
      </c>
      <c r="Y27" s="22" t="s">
        <v>27</v>
      </c>
      <c r="Z27" s="22" t="s">
        <v>6</v>
      </c>
      <c r="AA27" s="22">
        <v>100</v>
      </c>
      <c r="AB27" s="22" t="s">
        <v>6</v>
      </c>
      <c r="AC27" s="22">
        <v>100</v>
      </c>
      <c r="AD27" s="22" t="s">
        <v>6</v>
      </c>
      <c r="AE27" s="22" t="s">
        <v>174</v>
      </c>
      <c r="AF27" s="22" t="s">
        <v>578</v>
      </c>
      <c r="AG27" s="22" t="s">
        <v>171</v>
      </c>
      <c r="AH27" s="30" t="b">
        <v>0</v>
      </c>
      <c r="AI27" s="22" t="s">
        <v>6</v>
      </c>
      <c r="AJ27" s="22" t="s">
        <v>638</v>
      </c>
    </row>
    <row r="28" spans="1:36" x14ac:dyDescent="0.25">
      <c r="A28" s="22" t="s">
        <v>758</v>
      </c>
      <c r="B28" s="22" t="s">
        <v>162</v>
      </c>
      <c r="C28" s="22">
        <v>2</v>
      </c>
      <c r="D28" s="22" t="s">
        <v>761</v>
      </c>
      <c r="E28" s="22" t="s">
        <v>6</v>
      </c>
      <c r="F28" s="22" t="s">
        <v>6</v>
      </c>
      <c r="G28" s="22" t="s">
        <v>6</v>
      </c>
      <c r="H28" s="22" t="s">
        <v>6</v>
      </c>
      <c r="I28" s="22" t="s">
        <v>6</v>
      </c>
      <c r="J28" s="22" t="s">
        <v>775</v>
      </c>
      <c r="K28" s="22">
        <v>20</v>
      </c>
      <c r="L28" s="22">
        <v>14</v>
      </c>
      <c r="M28" s="22">
        <v>7</v>
      </c>
      <c r="N28" s="22">
        <v>8</v>
      </c>
      <c r="O28" s="22">
        <v>23</v>
      </c>
      <c r="P28" s="23">
        <v>2</v>
      </c>
      <c r="Q28" s="22">
        <v>12</v>
      </c>
      <c r="R28" s="22">
        <v>12</v>
      </c>
      <c r="S28" s="22" t="s">
        <v>6</v>
      </c>
      <c r="T28" s="23">
        <v>2</v>
      </c>
      <c r="U28" s="22">
        <v>12</v>
      </c>
      <c r="V28" s="22">
        <v>12</v>
      </c>
      <c r="W28" s="22" t="s">
        <v>6</v>
      </c>
      <c r="X28" s="22" t="s">
        <v>166</v>
      </c>
      <c r="Y28" s="22" t="s">
        <v>27</v>
      </c>
      <c r="Z28" s="22" t="s">
        <v>6</v>
      </c>
      <c r="AA28" s="22">
        <v>100</v>
      </c>
      <c r="AB28" s="22" t="s">
        <v>6</v>
      </c>
      <c r="AC28" s="22">
        <v>100</v>
      </c>
      <c r="AD28" s="22" t="s">
        <v>6</v>
      </c>
      <c r="AE28" s="22" t="s">
        <v>175</v>
      </c>
      <c r="AF28" s="22" t="s">
        <v>579</v>
      </c>
      <c r="AG28" s="22" t="s">
        <v>171</v>
      </c>
      <c r="AH28" s="30" t="b">
        <v>0</v>
      </c>
      <c r="AI28" s="22" t="s">
        <v>6</v>
      </c>
      <c r="AJ28" s="22" t="s">
        <v>640</v>
      </c>
    </row>
    <row r="29" spans="1:36" x14ac:dyDescent="0.25">
      <c r="A29" s="22" t="s">
        <v>758</v>
      </c>
      <c r="B29" s="22" t="s">
        <v>162</v>
      </c>
      <c r="C29" s="22">
        <v>2</v>
      </c>
      <c r="D29" s="22" t="s">
        <v>615</v>
      </c>
      <c r="E29" s="22" t="s">
        <v>172</v>
      </c>
      <c r="F29" s="22" t="s">
        <v>733</v>
      </c>
      <c r="G29" s="22" t="s">
        <v>6</v>
      </c>
      <c r="H29" s="22" t="s">
        <v>730</v>
      </c>
      <c r="I29" s="22" t="s">
        <v>127</v>
      </c>
      <c r="J29" s="22" t="s">
        <v>774</v>
      </c>
      <c r="K29" s="22">
        <v>20</v>
      </c>
      <c r="L29" s="22">
        <v>39.666670000000003</v>
      </c>
      <c r="M29" s="22">
        <v>41.416670000000003</v>
      </c>
      <c r="N29" s="22">
        <v>8</v>
      </c>
      <c r="O29" s="22">
        <v>24</v>
      </c>
      <c r="P29" s="23">
        <v>1</v>
      </c>
      <c r="Q29" s="22">
        <v>12</v>
      </c>
      <c r="R29" s="22">
        <v>12</v>
      </c>
      <c r="S29" s="22">
        <v>12</v>
      </c>
      <c r="T29" s="23">
        <v>1</v>
      </c>
      <c r="U29" s="22">
        <v>12</v>
      </c>
      <c r="V29" s="22">
        <v>12</v>
      </c>
      <c r="W29" s="22">
        <v>12</v>
      </c>
      <c r="X29" s="22" t="s">
        <v>169</v>
      </c>
      <c r="Y29" s="22" t="s">
        <v>44</v>
      </c>
      <c r="Z29" s="22" t="s">
        <v>133</v>
      </c>
      <c r="AA29" s="22">
        <v>1715.4169999999999</v>
      </c>
      <c r="AB29" s="22">
        <v>2767.393</v>
      </c>
      <c r="AC29" s="22">
        <v>18068</v>
      </c>
      <c r="AD29" s="22">
        <v>26259.621999999999</v>
      </c>
      <c r="AE29" s="22" t="s">
        <v>174</v>
      </c>
      <c r="AF29" s="22" t="s">
        <v>177</v>
      </c>
      <c r="AG29" s="22" t="s">
        <v>171</v>
      </c>
      <c r="AH29" s="30" t="b">
        <v>0</v>
      </c>
      <c r="AI29" s="22" t="s">
        <v>6</v>
      </c>
      <c r="AJ29" s="22" t="s">
        <v>639</v>
      </c>
    </row>
    <row r="30" spans="1:36" x14ac:dyDescent="0.25">
      <c r="A30" s="22" t="s">
        <v>758</v>
      </c>
      <c r="B30" s="22" t="s">
        <v>162</v>
      </c>
      <c r="C30" s="22">
        <v>2</v>
      </c>
      <c r="D30" s="22" t="s">
        <v>761</v>
      </c>
      <c r="E30" s="22" t="s">
        <v>6</v>
      </c>
      <c r="F30" s="22" t="s">
        <v>6</v>
      </c>
      <c r="G30" s="22" t="s">
        <v>6</v>
      </c>
      <c r="H30" s="22" t="s">
        <v>6</v>
      </c>
      <c r="I30" s="22" t="s">
        <v>6</v>
      </c>
      <c r="J30" s="22" t="s">
        <v>774</v>
      </c>
      <c r="K30" s="22">
        <v>20</v>
      </c>
      <c r="L30" s="22">
        <v>41.416670000000003</v>
      </c>
      <c r="M30" s="22">
        <v>35.583329999999997</v>
      </c>
      <c r="N30" s="22">
        <v>8</v>
      </c>
      <c r="O30" s="22">
        <v>24</v>
      </c>
      <c r="P30" s="23">
        <v>2</v>
      </c>
      <c r="Q30" s="22">
        <v>12</v>
      </c>
      <c r="R30" s="22">
        <v>12</v>
      </c>
      <c r="S30" s="22">
        <v>12</v>
      </c>
      <c r="T30" s="23">
        <v>2</v>
      </c>
      <c r="U30" s="22">
        <v>12</v>
      </c>
      <c r="V30" s="22">
        <v>12</v>
      </c>
      <c r="W30" s="22">
        <v>12</v>
      </c>
      <c r="X30" s="22" t="s">
        <v>169</v>
      </c>
      <c r="Y30" s="22" t="s">
        <v>44</v>
      </c>
      <c r="Z30" s="22" t="s">
        <v>133</v>
      </c>
      <c r="AA30" s="22">
        <v>18068</v>
      </c>
      <c r="AB30" s="22">
        <v>26259.621999999999</v>
      </c>
      <c r="AC30" s="22">
        <v>18481.417000000001</v>
      </c>
      <c r="AD30" s="22">
        <v>21712.486000000001</v>
      </c>
      <c r="AE30" s="22" t="s">
        <v>175</v>
      </c>
      <c r="AF30" s="22" t="s">
        <v>178</v>
      </c>
      <c r="AG30" s="22" t="s">
        <v>171</v>
      </c>
      <c r="AH30" s="30" t="b">
        <v>0</v>
      </c>
      <c r="AI30" s="22" t="s">
        <v>6</v>
      </c>
      <c r="AJ30" s="22" t="s">
        <v>641</v>
      </c>
    </row>
    <row r="31" spans="1:36" x14ac:dyDescent="0.25">
      <c r="A31" s="22" t="s">
        <v>758</v>
      </c>
      <c r="B31" s="22" t="s">
        <v>162</v>
      </c>
      <c r="C31" s="22">
        <v>3</v>
      </c>
      <c r="D31" s="22" t="s">
        <v>615</v>
      </c>
      <c r="E31" s="22" t="s">
        <v>173</v>
      </c>
      <c r="F31" s="22" t="s">
        <v>733</v>
      </c>
      <c r="G31" s="22" t="s">
        <v>6</v>
      </c>
      <c r="H31" s="22" t="s">
        <v>730</v>
      </c>
      <c r="I31" s="22" t="s">
        <v>127</v>
      </c>
      <c r="J31" s="22" t="s">
        <v>24</v>
      </c>
      <c r="K31" s="22" t="s">
        <v>6</v>
      </c>
      <c r="L31" s="22">
        <f>20*7</f>
        <v>140</v>
      </c>
      <c r="M31" s="22">
        <f>20*7</f>
        <v>140</v>
      </c>
      <c r="N31" s="22">
        <v>9</v>
      </c>
      <c r="O31" s="22">
        <v>25</v>
      </c>
      <c r="P31" s="23">
        <v>1</v>
      </c>
      <c r="Q31" s="22">
        <v>12</v>
      </c>
      <c r="R31" s="22">
        <v>12</v>
      </c>
      <c r="S31" s="22" t="s">
        <v>6</v>
      </c>
      <c r="T31" s="23">
        <v>1</v>
      </c>
      <c r="U31" s="22">
        <v>12</v>
      </c>
      <c r="V31" s="22">
        <v>12</v>
      </c>
      <c r="W31" s="22" t="s">
        <v>6</v>
      </c>
      <c r="X31" s="22" t="s">
        <v>35</v>
      </c>
      <c r="Y31" s="22" t="s">
        <v>27</v>
      </c>
      <c r="Z31" s="22" t="s">
        <v>6</v>
      </c>
      <c r="AA31" s="22">
        <f>0/12%</f>
        <v>0</v>
      </c>
      <c r="AB31" s="22" t="s">
        <v>6</v>
      </c>
      <c r="AC31" s="22">
        <f>4/12%</f>
        <v>33.333333333333336</v>
      </c>
      <c r="AD31" s="22" t="s">
        <v>6</v>
      </c>
      <c r="AE31" s="22" t="s">
        <v>174</v>
      </c>
      <c r="AF31" s="22" t="s">
        <v>180</v>
      </c>
      <c r="AG31" s="22" t="s">
        <v>171</v>
      </c>
      <c r="AH31" s="30" t="b">
        <v>0</v>
      </c>
      <c r="AI31" s="22" t="s">
        <v>6</v>
      </c>
      <c r="AJ31" s="22" t="s">
        <v>6</v>
      </c>
    </row>
    <row r="32" spans="1:36" x14ac:dyDescent="0.25">
      <c r="A32" s="22" t="s">
        <v>758</v>
      </c>
      <c r="B32" s="22" t="s">
        <v>162</v>
      </c>
      <c r="C32" s="22">
        <v>3</v>
      </c>
      <c r="D32" s="22" t="s">
        <v>761</v>
      </c>
      <c r="E32" s="22" t="s">
        <v>6</v>
      </c>
      <c r="F32" s="22" t="s">
        <v>6</v>
      </c>
      <c r="G32" s="22" t="s">
        <v>6</v>
      </c>
      <c r="H32" s="22" t="s">
        <v>6</v>
      </c>
      <c r="I32" s="22" t="s">
        <v>6</v>
      </c>
      <c r="J32" s="22" t="s">
        <v>24</v>
      </c>
      <c r="K32" s="22" t="s">
        <v>6</v>
      </c>
      <c r="L32" s="22">
        <f>20*7</f>
        <v>140</v>
      </c>
      <c r="M32" s="22">
        <f>20*7</f>
        <v>140</v>
      </c>
      <c r="N32" s="22">
        <v>9</v>
      </c>
      <c r="O32" s="22">
        <v>25</v>
      </c>
      <c r="P32" s="23">
        <v>2</v>
      </c>
      <c r="Q32" s="22">
        <v>12</v>
      </c>
      <c r="R32" s="22">
        <v>12</v>
      </c>
      <c r="S32" s="22" t="s">
        <v>6</v>
      </c>
      <c r="T32" s="23">
        <v>2</v>
      </c>
      <c r="U32" s="22">
        <v>12</v>
      </c>
      <c r="V32" s="22">
        <v>12</v>
      </c>
      <c r="W32" s="22" t="s">
        <v>6</v>
      </c>
      <c r="X32" s="22" t="s">
        <v>35</v>
      </c>
      <c r="Y32" s="22" t="s">
        <v>27</v>
      </c>
      <c r="Z32" s="22" t="s">
        <v>6</v>
      </c>
      <c r="AA32" s="22">
        <f>4/12%</f>
        <v>33.333333333333336</v>
      </c>
      <c r="AB32" s="22" t="s">
        <v>6</v>
      </c>
      <c r="AC32" s="22">
        <f>8/12%</f>
        <v>66.666666666666671</v>
      </c>
      <c r="AD32" s="22" t="s">
        <v>6</v>
      </c>
      <c r="AE32" s="22" t="s">
        <v>175</v>
      </c>
      <c r="AF32" s="22" t="s">
        <v>181</v>
      </c>
      <c r="AG32" s="22" t="s">
        <v>171</v>
      </c>
      <c r="AH32" s="30" t="b">
        <v>0</v>
      </c>
      <c r="AI32" s="22" t="s">
        <v>6</v>
      </c>
      <c r="AJ32" s="22" t="s">
        <v>601</v>
      </c>
    </row>
    <row r="33" spans="1:36" x14ac:dyDescent="0.25">
      <c r="A33" s="22" t="s">
        <v>758</v>
      </c>
      <c r="B33" s="22" t="s">
        <v>162</v>
      </c>
      <c r="C33" s="22">
        <v>3</v>
      </c>
      <c r="D33" s="22" t="s">
        <v>615</v>
      </c>
      <c r="E33" s="22" t="s">
        <v>173</v>
      </c>
      <c r="F33" s="22" t="s">
        <v>733</v>
      </c>
      <c r="G33" s="22" t="s">
        <v>6</v>
      </c>
      <c r="H33" s="22" t="s">
        <v>730</v>
      </c>
      <c r="I33" s="22" t="s">
        <v>127</v>
      </c>
      <c r="J33" s="22" t="s">
        <v>775</v>
      </c>
      <c r="K33" s="22">
        <v>20</v>
      </c>
      <c r="L33" s="22">
        <v>7</v>
      </c>
      <c r="M33" s="22">
        <v>21</v>
      </c>
      <c r="N33" s="22">
        <v>9</v>
      </c>
      <c r="O33" s="22">
        <v>26</v>
      </c>
      <c r="P33" s="23">
        <v>1</v>
      </c>
      <c r="Q33" s="22">
        <v>12</v>
      </c>
      <c r="R33" s="22">
        <v>12</v>
      </c>
      <c r="S33" s="22" t="s">
        <v>6</v>
      </c>
      <c r="T33" s="23">
        <v>1</v>
      </c>
      <c r="U33" s="22">
        <v>12</v>
      </c>
      <c r="V33" s="22">
        <v>12</v>
      </c>
      <c r="W33" s="22" t="s">
        <v>6</v>
      </c>
      <c r="X33" s="22" t="s">
        <v>166</v>
      </c>
      <c r="Y33" s="22" t="s">
        <v>27</v>
      </c>
      <c r="Z33" s="22" t="s">
        <v>6</v>
      </c>
      <c r="AA33" s="22">
        <v>100</v>
      </c>
      <c r="AB33" s="22" t="s">
        <v>6</v>
      </c>
      <c r="AC33" s="22">
        <v>100</v>
      </c>
      <c r="AD33" s="22" t="s">
        <v>6</v>
      </c>
      <c r="AE33" s="22" t="s">
        <v>174</v>
      </c>
      <c r="AF33" s="22" t="s">
        <v>580</v>
      </c>
      <c r="AG33" s="22" t="s">
        <v>171</v>
      </c>
      <c r="AH33" s="30" t="b">
        <v>0</v>
      </c>
      <c r="AI33" s="22" t="s">
        <v>6</v>
      </c>
      <c r="AJ33" s="22" t="s">
        <v>582</v>
      </c>
    </row>
    <row r="34" spans="1:36" x14ac:dyDescent="0.25">
      <c r="A34" s="22" t="s">
        <v>758</v>
      </c>
      <c r="B34" s="22" t="s">
        <v>162</v>
      </c>
      <c r="C34" s="22">
        <v>3</v>
      </c>
      <c r="D34" s="22" t="s">
        <v>761</v>
      </c>
      <c r="E34" s="22" t="s">
        <v>6</v>
      </c>
      <c r="F34" s="22" t="s">
        <v>6</v>
      </c>
      <c r="G34" s="22" t="s">
        <v>6</v>
      </c>
      <c r="H34" s="22" t="s">
        <v>6</v>
      </c>
      <c r="I34" s="22" t="s">
        <v>6</v>
      </c>
      <c r="J34" s="22" t="s">
        <v>775</v>
      </c>
      <c r="K34" s="22">
        <v>20</v>
      </c>
      <c r="L34" s="22">
        <v>21</v>
      </c>
      <c r="M34" s="22">
        <v>7</v>
      </c>
      <c r="N34" s="22">
        <v>9</v>
      </c>
      <c r="O34" s="22">
        <v>26</v>
      </c>
      <c r="P34" s="23">
        <v>2</v>
      </c>
      <c r="Q34" s="22">
        <v>12</v>
      </c>
      <c r="R34" s="22">
        <v>12</v>
      </c>
      <c r="S34" s="22" t="s">
        <v>6</v>
      </c>
      <c r="T34" s="23">
        <v>2</v>
      </c>
      <c r="U34" s="22">
        <v>12</v>
      </c>
      <c r="V34" s="22">
        <v>12</v>
      </c>
      <c r="W34" s="22" t="s">
        <v>6</v>
      </c>
      <c r="X34" s="22" t="s">
        <v>166</v>
      </c>
      <c r="Y34" s="22" t="s">
        <v>27</v>
      </c>
      <c r="Z34" s="22" t="s">
        <v>6</v>
      </c>
      <c r="AA34" s="22">
        <v>100</v>
      </c>
      <c r="AB34" s="22" t="s">
        <v>6</v>
      </c>
      <c r="AC34" s="22">
        <v>100</v>
      </c>
      <c r="AD34" s="22" t="s">
        <v>6</v>
      </c>
      <c r="AE34" s="22" t="s">
        <v>175</v>
      </c>
      <c r="AF34" s="22" t="s">
        <v>581</v>
      </c>
      <c r="AG34" s="22" t="s">
        <v>171</v>
      </c>
      <c r="AH34" s="30" t="b">
        <v>0</v>
      </c>
      <c r="AI34" s="22" t="s">
        <v>6</v>
      </c>
      <c r="AJ34" s="22" t="s">
        <v>602</v>
      </c>
    </row>
    <row r="35" spans="1:36" x14ac:dyDescent="0.25">
      <c r="A35" s="22" t="s">
        <v>758</v>
      </c>
      <c r="B35" s="22" t="s">
        <v>162</v>
      </c>
      <c r="C35" s="22">
        <v>3</v>
      </c>
      <c r="D35" s="22" t="s">
        <v>615</v>
      </c>
      <c r="E35" s="22" t="s">
        <v>173</v>
      </c>
      <c r="F35" s="22" t="s">
        <v>733</v>
      </c>
      <c r="G35" s="22" t="s">
        <v>6</v>
      </c>
      <c r="H35" s="22" t="s">
        <v>730</v>
      </c>
      <c r="I35" s="22" t="s">
        <v>127</v>
      </c>
      <c r="J35" s="22" t="s">
        <v>774</v>
      </c>
      <c r="K35" s="22">
        <v>20</v>
      </c>
      <c r="L35" s="22">
        <v>56</v>
      </c>
      <c r="M35" s="22">
        <v>51.916670000000003</v>
      </c>
      <c r="N35" s="22">
        <v>9</v>
      </c>
      <c r="O35" s="22">
        <v>27</v>
      </c>
      <c r="P35" s="23">
        <v>1</v>
      </c>
      <c r="Q35" s="22">
        <v>12</v>
      </c>
      <c r="R35" s="22">
        <v>12</v>
      </c>
      <c r="S35" s="22">
        <v>12</v>
      </c>
      <c r="T35" s="23">
        <v>1</v>
      </c>
      <c r="U35" s="22">
        <v>12</v>
      </c>
      <c r="V35" s="22">
        <v>12</v>
      </c>
      <c r="W35" s="22">
        <v>12</v>
      </c>
      <c r="X35" s="22" t="s">
        <v>169</v>
      </c>
      <c r="Y35" s="22" t="s">
        <v>44</v>
      </c>
      <c r="Z35" s="22" t="s">
        <v>133</v>
      </c>
      <c r="AA35" s="22">
        <v>18366.919999999998</v>
      </c>
      <c r="AB35" s="22">
        <v>24002.18</v>
      </c>
      <c r="AC35" s="22">
        <v>115583.5</v>
      </c>
      <c r="AD35" s="22">
        <v>138631.81</v>
      </c>
      <c r="AE35" s="22" t="s">
        <v>174</v>
      </c>
      <c r="AF35" s="22" t="s">
        <v>183</v>
      </c>
      <c r="AG35" s="22" t="s">
        <v>171</v>
      </c>
      <c r="AH35" s="30" t="b">
        <v>0</v>
      </c>
      <c r="AI35" s="22" t="s">
        <v>6</v>
      </c>
      <c r="AJ35" s="22" t="s">
        <v>182</v>
      </c>
    </row>
    <row r="36" spans="1:36" x14ac:dyDescent="0.25">
      <c r="A36" s="22" t="s">
        <v>758</v>
      </c>
      <c r="B36" s="22" t="s">
        <v>162</v>
      </c>
      <c r="C36" s="22">
        <v>3</v>
      </c>
      <c r="D36" s="22" t="s">
        <v>761</v>
      </c>
      <c r="E36" s="22" t="s">
        <v>6</v>
      </c>
      <c r="F36" s="22" t="s">
        <v>6</v>
      </c>
      <c r="G36" s="22" t="s">
        <v>6</v>
      </c>
      <c r="H36" s="22" t="s">
        <v>6</v>
      </c>
      <c r="I36" s="22" t="s">
        <v>6</v>
      </c>
      <c r="J36" s="22" t="s">
        <v>774</v>
      </c>
      <c r="K36" s="22">
        <v>20</v>
      </c>
      <c r="L36" s="22">
        <v>51.916670000000003</v>
      </c>
      <c r="M36" s="22">
        <v>39.083329999999997</v>
      </c>
      <c r="N36" s="22">
        <v>9</v>
      </c>
      <c r="O36" s="22">
        <v>27</v>
      </c>
      <c r="P36" s="23">
        <v>2</v>
      </c>
      <c r="Q36" s="22">
        <v>12</v>
      </c>
      <c r="R36" s="22">
        <v>12</v>
      </c>
      <c r="S36" s="22">
        <v>12</v>
      </c>
      <c r="T36" s="23">
        <v>2</v>
      </c>
      <c r="U36" s="22">
        <v>12</v>
      </c>
      <c r="V36" s="22">
        <v>12</v>
      </c>
      <c r="W36" s="22">
        <v>12</v>
      </c>
      <c r="X36" s="22" t="s">
        <v>169</v>
      </c>
      <c r="Y36" s="22" t="s">
        <v>44</v>
      </c>
      <c r="Z36" s="22" t="s">
        <v>133</v>
      </c>
      <c r="AA36" s="22">
        <v>115583.5</v>
      </c>
      <c r="AB36" s="22">
        <v>138631.81</v>
      </c>
      <c r="AC36" s="22">
        <v>117657.92</v>
      </c>
      <c r="AD36" s="22">
        <v>74833.41</v>
      </c>
      <c r="AE36" s="22" t="s">
        <v>175</v>
      </c>
      <c r="AF36" s="22" t="s">
        <v>184</v>
      </c>
      <c r="AG36" s="22" t="s">
        <v>171</v>
      </c>
      <c r="AH36" s="30" t="b">
        <v>0</v>
      </c>
      <c r="AI36" s="22" t="s">
        <v>6</v>
      </c>
      <c r="AJ36" s="22" t="s">
        <v>603</v>
      </c>
    </row>
    <row r="37" spans="1:36" x14ac:dyDescent="0.25">
      <c r="A37" s="22" t="s">
        <v>758</v>
      </c>
      <c r="B37" s="22" t="s">
        <v>186</v>
      </c>
      <c r="C37" s="22">
        <v>1</v>
      </c>
      <c r="D37" s="22" t="s">
        <v>615</v>
      </c>
      <c r="E37" s="22" t="s">
        <v>187</v>
      </c>
      <c r="F37" s="22" t="s">
        <v>734</v>
      </c>
      <c r="G37" s="22" t="s">
        <v>6</v>
      </c>
      <c r="H37" s="22" t="s">
        <v>732</v>
      </c>
      <c r="I37" s="22" t="s">
        <v>191</v>
      </c>
      <c r="J37" s="22" t="s">
        <v>24</v>
      </c>
      <c r="K37" s="22" t="s">
        <v>6</v>
      </c>
      <c r="L37" s="22">
        <v>84</v>
      </c>
      <c r="M37" s="22">
        <v>84</v>
      </c>
      <c r="N37" s="22">
        <v>10</v>
      </c>
      <c r="O37" s="22">
        <v>28</v>
      </c>
      <c r="P37" s="23">
        <v>1</v>
      </c>
      <c r="Q37" s="22">
        <v>2</v>
      </c>
      <c r="R37" s="22">
        <v>2</v>
      </c>
      <c r="S37" s="22" t="s">
        <v>6</v>
      </c>
      <c r="T37" s="23">
        <v>1</v>
      </c>
      <c r="U37" s="22">
        <v>6</v>
      </c>
      <c r="V37" s="22">
        <v>6</v>
      </c>
      <c r="W37" s="22" t="s">
        <v>6</v>
      </c>
      <c r="X37" s="22" t="s">
        <v>35</v>
      </c>
      <c r="Y37" s="22" t="s">
        <v>27</v>
      </c>
      <c r="Z37" s="22" t="s">
        <v>6</v>
      </c>
      <c r="AA37" s="22">
        <v>0</v>
      </c>
      <c r="AB37" s="22" t="s">
        <v>6</v>
      </c>
      <c r="AC37" s="22">
        <f>5/6%</f>
        <v>83.333333333333343</v>
      </c>
      <c r="AD37" s="22" t="s">
        <v>6</v>
      </c>
      <c r="AE37" s="22" t="s">
        <v>6</v>
      </c>
      <c r="AF37" s="22" t="s">
        <v>642</v>
      </c>
      <c r="AG37" s="22" t="s">
        <v>6</v>
      </c>
      <c r="AH37" s="30" t="b">
        <v>0</v>
      </c>
      <c r="AI37" s="22" t="s">
        <v>6</v>
      </c>
      <c r="AJ37" s="22" t="s">
        <v>6</v>
      </c>
    </row>
    <row r="38" spans="1:36" x14ac:dyDescent="0.25">
      <c r="A38" s="22" t="s">
        <v>758</v>
      </c>
      <c r="B38" s="22" t="s">
        <v>186</v>
      </c>
      <c r="C38" s="22">
        <v>1</v>
      </c>
      <c r="D38" s="22" t="s">
        <v>615</v>
      </c>
      <c r="E38" s="22" t="s">
        <v>188</v>
      </c>
      <c r="F38" s="22" t="s">
        <v>734</v>
      </c>
      <c r="G38" s="22" t="s">
        <v>6</v>
      </c>
      <c r="H38" s="22" t="s">
        <v>732</v>
      </c>
      <c r="I38" s="22" t="s">
        <v>191</v>
      </c>
      <c r="J38" s="22" t="s">
        <v>24</v>
      </c>
      <c r="K38" s="22" t="s">
        <v>6</v>
      </c>
      <c r="L38" s="22">
        <v>84</v>
      </c>
      <c r="M38" s="22">
        <v>84</v>
      </c>
      <c r="N38" s="22">
        <v>10</v>
      </c>
      <c r="O38" s="22">
        <v>28</v>
      </c>
      <c r="P38" s="23">
        <v>2</v>
      </c>
      <c r="Q38" s="22">
        <v>4</v>
      </c>
      <c r="R38" s="22">
        <v>4</v>
      </c>
      <c r="S38" s="22" t="s">
        <v>6</v>
      </c>
      <c r="T38" s="23">
        <v>1</v>
      </c>
      <c r="U38" s="22">
        <v>6</v>
      </c>
      <c r="V38" s="22">
        <v>6</v>
      </c>
      <c r="W38" s="22" t="s">
        <v>6</v>
      </c>
      <c r="X38" s="22" t="s">
        <v>35</v>
      </c>
      <c r="Y38" s="22" t="s">
        <v>27</v>
      </c>
      <c r="Z38" s="22" t="s">
        <v>6</v>
      </c>
      <c r="AA38" s="22">
        <f>1/4%</f>
        <v>25</v>
      </c>
      <c r="AB38" s="22" t="s">
        <v>6</v>
      </c>
      <c r="AC38" s="22">
        <f>5/6%</f>
        <v>83.333333333333343</v>
      </c>
      <c r="AD38" s="22" t="s">
        <v>6</v>
      </c>
      <c r="AE38" s="22" t="s">
        <v>6</v>
      </c>
      <c r="AF38" s="22" t="s">
        <v>642</v>
      </c>
      <c r="AG38" s="22" t="s">
        <v>6</v>
      </c>
      <c r="AH38" s="30" t="b">
        <v>0</v>
      </c>
      <c r="AI38" s="22" t="s">
        <v>6</v>
      </c>
      <c r="AJ38" s="22" t="s">
        <v>6</v>
      </c>
    </row>
    <row r="39" spans="1:36" x14ac:dyDescent="0.25">
      <c r="A39" s="22" t="s">
        <v>758</v>
      </c>
      <c r="B39" s="22" t="s">
        <v>186</v>
      </c>
      <c r="C39" s="22">
        <v>1</v>
      </c>
      <c r="D39" s="22" t="s">
        <v>615</v>
      </c>
      <c r="E39" s="22" t="s">
        <v>189</v>
      </c>
      <c r="F39" s="22" t="s">
        <v>734</v>
      </c>
      <c r="G39" s="22" t="s">
        <v>6</v>
      </c>
      <c r="H39" s="22" t="s">
        <v>732</v>
      </c>
      <c r="I39" s="22" t="s">
        <v>191</v>
      </c>
      <c r="J39" s="22" t="s">
        <v>24</v>
      </c>
      <c r="K39" s="22" t="s">
        <v>6</v>
      </c>
      <c r="L39" s="22">
        <v>84</v>
      </c>
      <c r="M39" s="22">
        <v>84</v>
      </c>
      <c r="N39" s="22">
        <v>10</v>
      </c>
      <c r="O39" s="22">
        <v>28</v>
      </c>
      <c r="P39" s="23">
        <v>3</v>
      </c>
      <c r="Q39" s="22">
        <v>3</v>
      </c>
      <c r="R39" s="22">
        <v>3</v>
      </c>
      <c r="S39" s="22" t="s">
        <v>6</v>
      </c>
      <c r="T39" s="23">
        <v>1</v>
      </c>
      <c r="U39" s="22">
        <v>6</v>
      </c>
      <c r="V39" s="22">
        <v>6</v>
      </c>
      <c r="W39" s="22" t="s">
        <v>6</v>
      </c>
      <c r="X39" s="22" t="s">
        <v>35</v>
      </c>
      <c r="Y39" s="22" t="s">
        <v>27</v>
      </c>
      <c r="Z39" s="22" t="s">
        <v>6</v>
      </c>
      <c r="AA39" s="22">
        <f>2/3%</f>
        <v>66.666666666666671</v>
      </c>
      <c r="AB39" s="22" t="s">
        <v>6</v>
      </c>
      <c r="AC39" s="22">
        <f>5/6%</f>
        <v>83.333333333333343</v>
      </c>
      <c r="AD39" s="22" t="s">
        <v>6</v>
      </c>
      <c r="AE39" s="22" t="s">
        <v>6</v>
      </c>
      <c r="AF39" s="22" t="s">
        <v>642</v>
      </c>
      <c r="AG39" s="22" t="s">
        <v>6</v>
      </c>
      <c r="AH39" s="30" t="b">
        <v>0</v>
      </c>
      <c r="AI39" s="22" t="s">
        <v>6</v>
      </c>
      <c r="AJ39" s="22" t="s">
        <v>6</v>
      </c>
    </row>
    <row r="40" spans="1:36" x14ac:dyDescent="0.25">
      <c r="A40" s="22" t="s">
        <v>758</v>
      </c>
      <c r="B40" s="22" t="s">
        <v>186</v>
      </c>
      <c r="C40" s="22">
        <v>1</v>
      </c>
      <c r="D40" s="22" t="s">
        <v>615</v>
      </c>
      <c r="E40" s="22" t="s">
        <v>190</v>
      </c>
      <c r="F40" s="22" t="s">
        <v>734</v>
      </c>
      <c r="G40" s="22" t="s">
        <v>6</v>
      </c>
      <c r="H40" s="22" t="s">
        <v>732</v>
      </c>
      <c r="I40" s="22" t="s">
        <v>191</v>
      </c>
      <c r="J40" s="22" t="s">
        <v>24</v>
      </c>
      <c r="K40" s="22" t="s">
        <v>6</v>
      </c>
      <c r="L40" s="22">
        <v>48</v>
      </c>
      <c r="M40" s="22">
        <v>84</v>
      </c>
      <c r="N40" s="22">
        <v>10</v>
      </c>
      <c r="O40" s="22">
        <v>28</v>
      </c>
      <c r="P40" s="23">
        <v>4</v>
      </c>
      <c r="Q40" s="22">
        <v>7</v>
      </c>
      <c r="R40" s="22">
        <v>7</v>
      </c>
      <c r="S40" s="22" t="s">
        <v>6</v>
      </c>
      <c r="T40" s="23">
        <v>1</v>
      </c>
      <c r="U40" s="22">
        <v>6</v>
      </c>
      <c r="V40" s="22">
        <v>6</v>
      </c>
      <c r="W40" s="22" t="s">
        <v>6</v>
      </c>
      <c r="X40" s="22" t="s">
        <v>35</v>
      </c>
      <c r="Y40" s="22" t="s">
        <v>27</v>
      </c>
      <c r="Z40" s="22" t="s">
        <v>6</v>
      </c>
      <c r="AA40" s="22">
        <v>100</v>
      </c>
      <c r="AB40" s="22" t="s">
        <v>6</v>
      </c>
      <c r="AC40" s="22">
        <f>5/6%</f>
        <v>83.333333333333343</v>
      </c>
      <c r="AD40" s="22" t="s">
        <v>6</v>
      </c>
      <c r="AE40" s="22" t="s">
        <v>6</v>
      </c>
      <c r="AF40" s="22" t="s">
        <v>642</v>
      </c>
      <c r="AG40" s="22" t="s">
        <v>6</v>
      </c>
      <c r="AH40" s="30" t="b">
        <v>0</v>
      </c>
      <c r="AI40" s="22" t="s">
        <v>6</v>
      </c>
      <c r="AJ40" s="22" t="s">
        <v>6</v>
      </c>
    </row>
    <row r="41" spans="1:36" x14ac:dyDescent="0.25">
      <c r="A41" s="22" t="s">
        <v>758</v>
      </c>
      <c r="B41" s="22" t="s">
        <v>186</v>
      </c>
      <c r="C41" s="22">
        <v>1</v>
      </c>
      <c r="D41" s="22" t="s">
        <v>615</v>
      </c>
      <c r="E41" s="22" t="s">
        <v>187</v>
      </c>
      <c r="F41" s="22" t="s">
        <v>734</v>
      </c>
      <c r="G41" s="22" t="s">
        <v>6</v>
      </c>
      <c r="H41" s="22" t="s">
        <v>732</v>
      </c>
      <c r="I41" s="22" t="s">
        <v>191</v>
      </c>
      <c r="J41" s="22" t="s">
        <v>774</v>
      </c>
      <c r="K41" s="22">
        <v>12</v>
      </c>
      <c r="L41" s="22">
        <v>56</v>
      </c>
      <c r="M41" s="22">
        <v>22.16667</v>
      </c>
      <c r="N41" s="22">
        <v>10</v>
      </c>
      <c r="O41" s="22">
        <v>29</v>
      </c>
      <c r="P41" s="23">
        <v>1</v>
      </c>
      <c r="Q41" s="22">
        <v>2</v>
      </c>
      <c r="R41" s="22">
        <v>2</v>
      </c>
      <c r="S41" s="22">
        <v>2</v>
      </c>
      <c r="T41" s="23">
        <v>1</v>
      </c>
      <c r="U41" s="22">
        <v>6</v>
      </c>
      <c r="V41" s="22">
        <v>6</v>
      </c>
      <c r="W41" s="22">
        <v>6</v>
      </c>
      <c r="X41" s="22" t="s">
        <v>169</v>
      </c>
      <c r="Y41" s="22" t="s">
        <v>192</v>
      </c>
      <c r="Z41" s="22" t="s">
        <v>133</v>
      </c>
      <c r="AA41" s="22">
        <v>865</v>
      </c>
      <c r="AB41" s="22">
        <v>657.60929999999996</v>
      </c>
      <c r="AC41" s="22">
        <v>57666.67</v>
      </c>
      <c r="AD41" s="22">
        <v>32762.3361</v>
      </c>
      <c r="AE41" s="22" t="s">
        <v>6</v>
      </c>
      <c r="AF41" s="22" t="s">
        <v>193</v>
      </c>
      <c r="AG41" s="22" t="s">
        <v>6</v>
      </c>
      <c r="AH41" s="30" t="b">
        <v>0</v>
      </c>
      <c r="AI41" s="22" t="s">
        <v>6</v>
      </c>
      <c r="AJ41" s="22" t="s">
        <v>6</v>
      </c>
    </row>
    <row r="42" spans="1:36" x14ac:dyDescent="0.25">
      <c r="A42" s="22" t="s">
        <v>758</v>
      </c>
      <c r="B42" s="22" t="s">
        <v>186</v>
      </c>
      <c r="C42" s="22">
        <v>1</v>
      </c>
      <c r="D42" s="22" t="s">
        <v>615</v>
      </c>
      <c r="E42" s="22" t="s">
        <v>188</v>
      </c>
      <c r="F42" s="22" t="s">
        <v>734</v>
      </c>
      <c r="G42" s="22" t="s">
        <v>6</v>
      </c>
      <c r="H42" s="22" t="s">
        <v>732</v>
      </c>
      <c r="I42" s="22" t="s">
        <v>191</v>
      </c>
      <c r="J42" s="22" t="s">
        <v>774</v>
      </c>
      <c r="K42" s="22">
        <v>12</v>
      </c>
      <c r="L42" s="22">
        <v>45.5</v>
      </c>
      <c r="M42" s="22">
        <v>22.16667</v>
      </c>
      <c r="N42" s="22">
        <v>10</v>
      </c>
      <c r="O42" s="22">
        <v>29</v>
      </c>
      <c r="P42" s="23">
        <v>2</v>
      </c>
      <c r="Q42" s="22">
        <v>4</v>
      </c>
      <c r="R42" s="22">
        <v>4</v>
      </c>
      <c r="S42" s="22">
        <v>4</v>
      </c>
      <c r="T42" s="23">
        <v>1</v>
      </c>
      <c r="U42" s="22">
        <v>6</v>
      </c>
      <c r="V42" s="22">
        <v>6</v>
      </c>
      <c r="W42" s="22">
        <v>6</v>
      </c>
      <c r="X42" s="22" t="s">
        <v>169</v>
      </c>
      <c r="Y42" s="22" t="s">
        <v>192</v>
      </c>
      <c r="Z42" s="22" t="s">
        <v>133</v>
      </c>
      <c r="AA42" s="22">
        <v>9357</v>
      </c>
      <c r="AB42" s="22">
        <v>8458.8089999999993</v>
      </c>
      <c r="AC42" s="22">
        <v>57666.67</v>
      </c>
      <c r="AD42" s="22">
        <v>32762.3361</v>
      </c>
      <c r="AE42" s="22" t="s">
        <v>6</v>
      </c>
      <c r="AF42" s="22" t="s">
        <v>193</v>
      </c>
      <c r="AG42" s="22" t="s">
        <v>6</v>
      </c>
      <c r="AH42" s="30" t="b">
        <v>0</v>
      </c>
      <c r="AI42" s="22" t="s">
        <v>6</v>
      </c>
      <c r="AJ42" s="22" t="s">
        <v>6</v>
      </c>
    </row>
    <row r="43" spans="1:36" x14ac:dyDescent="0.25">
      <c r="A43" s="22" t="s">
        <v>758</v>
      </c>
      <c r="B43" s="22" t="s">
        <v>186</v>
      </c>
      <c r="C43" s="22">
        <v>1</v>
      </c>
      <c r="D43" s="22" t="s">
        <v>615</v>
      </c>
      <c r="E43" s="22" t="s">
        <v>189</v>
      </c>
      <c r="F43" s="22" t="s">
        <v>734</v>
      </c>
      <c r="G43" s="22" t="s">
        <v>6</v>
      </c>
      <c r="H43" s="22" t="s">
        <v>732</v>
      </c>
      <c r="I43" s="22" t="s">
        <v>191</v>
      </c>
      <c r="J43" s="22" t="s">
        <v>774</v>
      </c>
      <c r="K43" s="22">
        <v>12</v>
      </c>
      <c r="L43" s="22">
        <v>18.66667</v>
      </c>
      <c r="M43" s="22">
        <v>22.16667</v>
      </c>
      <c r="N43" s="22">
        <v>10</v>
      </c>
      <c r="O43" s="22">
        <v>29</v>
      </c>
      <c r="P43" s="23">
        <v>3</v>
      </c>
      <c r="Q43" s="22">
        <v>3</v>
      </c>
      <c r="R43" s="22">
        <v>3</v>
      </c>
      <c r="S43" s="22">
        <v>3</v>
      </c>
      <c r="T43" s="23">
        <v>1</v>
      </c>
      <c r="U43" s="22">
        <v>6</v>
      </c>
      <c r="V43" s="22">
        <v>6</v>
      </c>
      <c r="W43" s="22">
        <v>6</v>
      </c>
      <c r="X43" s="22" t="s">
        <v>169</v>
      </c>
      <c r="Y43" s="22" t="s">
        <v>192</v>
      </c>
      <c r="Z43" s="22" t="s">
        <v>133</v>
      </c>
      <c r="AA43" s="22">
        <v>57026.67</v>
      </c>
      <c r="AB43" s="22">
        <v>73158.079100000003</v>
      </c>
      <c r="AC43" s="22">
        <v>57666.67</v>
      </c>
      <c r="AD43" s="22">
        <v>32762.3361</v>
      </c>
      <c r="AE43" s="22" t="s">
        <v>6</v>
      </c>
      <c r="AF43" s="22" t="s">
        <v>193</v>
      </c>
      <c r="AG43" s="22" t="s">
        <v>6</v>
      </c>
      <c r="AH43" s="30" t="b">
        <v>0</v>
      </c>
      <c r="AI43" s="22" t="s">
        <v>6</v>
      </c>
      <c r="AJ43" s="22" t="s">
        <v>6</v>
      </c>
    </row>
    <row r="44" spans="1:36" x14ac:dyDescent="0.25">
      <c r="A44" s="22" t="s">
        <v>758</v>
      </c>
      <c r="B44" s="22" t="s">
        <v>186</v>
      </c>
      <c r="C44" s="22">
        <v>1</v>
      </c>
      <c r="D44" s="22" t="s">
        <v>615</v>
      </c>
      <c r="E44" s="22" t="s">
        <v>190</v>
      </c>
      <c r="F44" s="22" t="s">
        <v>734</v>
      </c>
      <c r="G44" s="22" t="s">
        <v>6</v>
      </c>
      <c r="H44" s="22" t="s">
        <v>732</v>
      </c>
      <c r="I44" s="22" t="s">
        <v>191</v>
      </c>
      <c r="J44" s="22" t="s">
        <v>774</v>
      </c>
      <c r="K44" s="22">
        <v>7</v>
      </c>
      <c r="L44" s="22">
        <v>18</v>
      </c>
      <c r="M44" s="22">
        <v>22.16667</v>
      </c>
      <c r="N44" s="22">
        <v>10</v>
      </c>
      <c r="O44" s="22">
        <v>29</v>
      </c>
      <c r="P44" s="23">
        <v>4</v>
      </c>
      <c r="Q44" s="22">
        <v>7</v>
      </c>
      <c r="R44" s="22">
        <v>7</v>
      </c>
      <c r="S44" s="22">
        <v>7</v>
      </c>
      <c r="T44" s="23">
        <v>1</v>
      </c>
      <c r="U44" s="22">
        <v>6</v>
      </c>
      <c r="V44" s="22">
        <v>6</v>
      </c>
      <c r="W44" s="22">
        <v>6</v>
      </c>
      <c r="X44" s="22" t="s">
        <v>169</v>
      </c>
      <c r="Y44" s="22" t="s">
        <v>192</v>
      </c>
      <c r="Z44" s="22" t="s">
        <v>133</v>
      </c>
      <c r="AA44" s="22">
        <v>144891.43</v>
      </c>
      <c r="AB44" s="22">
        <v>155884.76680000001</v>
      </c>
      <c r="AC44" s="22">
        <v>57666.67</v>
      </c>
      <c r="AD44" s="22">
        <v>32762.3361</v>
      </c>
      <c r="AE44" s="22" t="s">
        <v>6</v>
      </c>
      <c r="AF44" s="22" t="s">
        <v>193</v>
      </c>
      <c r="AG44" s="22" t="s">
        <v>6</v>
      </c>
      <c r="AH44" s="30" t="b">
        <v>0</v>
      </c>
      <c r="AI44" s="22" t="s">
        <v>6</v>
      </c>
      <c r="AJ44" s="22" t="s">
        <v>6</v>
      </c>
    </row>
    <row r="45" spans="1:36" x14ac:dyDescent="0.25">
      <c r="A45" s="22" t="s">
        <v>758</v>
      </c>
      <c r="B45" s="22" t="s">
        <v>186</v>
      </c>
      <c r="C45" s="22">
        <v>1</v>
      </c>
      <c r="D45" s="22" t="s">
        <v>615</v>
      </c>
      <c r="E45" s="22" t="s">
        <v>187</v>
      </c>
      <c r="F45" s="22" t="s">
        <v>734</v>
      </c>
      <c r="G45" s="22" t="s">
        <v>6</v>
      </c>
      <c r="H45" s="22" t="s">
        <v>732</v>
      </c>
      <c r="I45" s="22" t="s">
        <v>191</v>
      </c>
      <c r="J45" s="22" t="s">
        <v>775</v>
      </c>
      <c r="K45" s="22">
        <v>12</v>
      </c>
      <c r="L45" s="22">
        <v>7</v>
      </c>
      <c r="M45" s="22">
        <v>7</v>
      </c>
      <c r="N45" s="22">
        <v>10</v>
      </c>
      <c r="O45" s="22">
        <v>30</v>
      </c>
      <c r="P45" s="23">
        <v>1</v>
      </c>
      <c r="Q45" s="22">
        <v>2</v>
      </c>
      <c r="R45" s="22">
        <v>2</v>
      </c>
      <c r="S45" s="22" t="s">
        <v>6</v>
      </c>
      <c r="T45" s="23">
        <v>1</v>
      </c>
      <c r="U45" s="22">
        <v>6</v>
      </c>
      <c r="V45" s="22">
        <v>6</v>
      </c>
      <c r="W45" s="22" t="s">
        <v>6</v>
      </c>
      <c r="X45" s="22" t="s">
        <v>166</v>
      </c>
      <c r="Y45" s="22" t="s">
        <v>27</v>
      </c>
      <c r="Z45" s="22" t="s">
        <v>6</v>
      </c>
      <c r="AA45" s="22">
        <v>100</v>
      </c>
      <c r="AB45" s="22" t="s">
        <v>6</v>
      </c>
      <c r="AC45" s="22">
        <v>100</v>
      </c>
      <c r="AD45" s="22" t="s">
        <v>6</v>
      </c>
      <c r="AE45" s="22" t="s">
        <v>6</v>
      </c>
      <c r="AF45" s="22" t="s">
        <v>583</v>
      </c>
      <c r="AG45" s="22" t="s">
        <v>6</v>
      </c>
      <c r="AH45" s="30" t="b">
        <v>0</v>
      </c>
      <c r="AI45" s="22" t="s">
        <v>6</v>
      </c>
      <c r="AJ45" s="22" t="s">
        <v>6</v>
      </c>
    </row>
    <row r="46" spans="1:36" x14ac:dyDescent="0.25">
      <c r="A46" s="22" t="s">
        <v>758</v>
      </c>
      <c r="B46" s="22" t="s">
        <v>186</v>
      </c>
      <c r="C46" s="22">
        <v>1</v>
      </c>
      <c r="D46" s="22" t="s">
        <v>615</v>
      </c>
      <c r="E46" s="22" t="s">
        <v>188</v>
      </c>
      <c r="F46" s="22" t="s">
        <v>734</v>
      </c>
      <c r="G46" s="22" t="s">
        <v>6</v>
      </c>
      <c r="H46" s="22" t="s">
        <v>732</v>
      </c>
      <c r="I46" s="22" t="s">
        <v>191</v>
      </c>
      <c r="J46" s="22" t="s">
        <v>775</v>
      </c>
      <c r="K46" s="22">
        <v>12</v>
      </c>
      <c r="L46" s="22">
        <v>7</v>
      </c>
      <c r="M46" s="22">
        <v>7</v>
      </c>
      <c r="N46" s="22">
        <v>10</v>
      </c>
      <c r="O46" s="22">
        <v>30</v>
      </c>
      <c r="P46" s="23">
        <v>2</v>
      </c>
      <c r="Q46" s="22">
        <v>4</v>
      </c>
      <c r="R46" s="22">
        <v>4</v>
      </c>
      <c r="S46" s="22" t="s">
        <v>6</v>
      </c>
      <c r="T46" s="23">
        <v>1</v>
      </c>
      <c r="U46" s="22">
        <v>6</v>
      </c>
      <c r="V46" s="22">
        <v>6</v>
      </c>
      <c r="W46" s="22" t="s">
        <v>6</v>
      </c>
      <c r="X46" s="22" t="s">
        <v>166</v>
      </c>
      <c r="Y46" s="22" t="s">
        <v>27</v>
      </c>
      <c r="Z46" s="22" t="s">
        <v>6</v>
      </c>
      <c r="AA46" s="22">
        <v>100</v>
      </c>
      <c r="AB46" s="22" t="s">
        <v>6</v>
      </c>
      <c r="AC46" s="22">
        <v>100</v>
      </c>
      <c r="AD46" s="22" t="s">
        <v>6</v>
      </c>
      <c r="AE46" s="22" t="s">
        <v>6</v>
      </c>
      <c r="AF46" s="22" t="s">
        <v>583</v>
      </c>
      <c r="AG46" s="22" t="s">
        <v>6</v>
      </c>
      <c r="AH46" s="30" t="b">
        <v>0</v>
      </c>
      <c r="AI46" s="22" t="s">
        <v>6</v>
      </c>
      <c r="AJ46" s="22" t="s">
        <v>6</v>
      </c>
    </row>
    <row r="47" spans="1:36" x14ac:dyDescent="0.25">
      <c r="A47" s="22" t="s">
        <v>758</v>
      </c>
      <c r="B47" s="22" t="s">
        <v>186</v>
      </c>
      <c r="C47" s="22">
        <v>1</v>
      </c>
      <c r="D47" s="22" t="s">
        <v>615</v>
      </c>
      <c r="E47" s="22" t="s">
        <v>189</v>
      </c>
      <c r="F47" s="22" t="s">
        <v>734</v>
      </c>
      <c r="G47" s="22" t="s">
        <v>6</v>
      </c>
      <c r="H47" s="22" t="s">
        <v>732</v>
      </c>
      <c r="I47" s="22" t="s">
        <v>191</v>
      </c>
      <c r="J47" s="22" t="s">
        <v>775</v>
      </c>
      <c r="K47" s="22">
        <v>12</v>
      </c>
      <c r="L47" s="22">
        <v>7</v>
      </c>
      <c r="M47" s="22">
        <v>7</v>
      </c>
      <c r="N47" s="22">
        <v>10</v>
      </c>
      <c r="O47" s="22">
        <v>30</v>
      </c>
      <c r="P47" s="23">
        <v>3</v>
      </c>
      <c r="Q47" s="22">
        <v>3</v>
      </c>
      <c r="R47" s="22">
        <v>3</v>
      </c>
      <c r="S47" s="22" t="s">
        <v>6</v>
      </c>
      <c r="T47" s="23">
        <v>1</v>
      </c>
      <c r="U47" s="22">
        <v>6</v>
      </c>
      <c r="V47" s="22">
        <v>6</v>
      </c>
      <c r="W47" s="22" t="s">
        <v>6</v>
      </c>
      <c r="X47" s="22" t="s">
        <v>166</v>
      </c>
      <c r="Y47" s="22" t="s">
        <v>27</v>
      </c>
      <c r="Z47" s="22" t="s">
        <v>6</v>
      </c>
      <c r="AA47" s="22">
        <v>100</v>
      </c>
      <c r="AB47" s="22" t="s">
        <v>6</v>
      </c>
      <c r="AC47" s="22">
        <v>100</v>
      </c>
      <c r="AD47" s="22" t="s">
        <v>6</v>
      </c>
      <c r="AE47" s="22" t="s">
        <v>6</v>
      </c>
      <c r="AF47" s="22" t="s">
        <v>583</v>
      </c>
      <c r="AG47" s="22" t="s">
        <v>6</v>
      </c>
      <c r="AH47" s="30" t="b">
        <v>0</v>
      </c>
      <c r="AI47" s="22" t="s">
        <v>6</v>
      </c>
      <c r="AJ47" s="22" t="s">
        <v>6</v>
      </c>
    </row>
    <row r="48" spans="1:36" x14ac:dyDescent="0.25">
      <c r="A48" s="22" t="s">
        <v>758</v>
      </c>
      <c r="B48" s="22" t="s">
        <v>186</v>
      </c>
      <c r="C48" s="22">
        <v>1</v>
      </c>
      <c r="D48" s="22" t="s">
        <v>615</v>
      </c>
      <c r="E48" s="22" t="s">
        <v>190</v>
      </c>
      <c r="F48" s="22" t="s">
        <v>734</v>
      </c>
      <c r="G48" s="22" t="s">
        <v>6</v>
      </c>
      <c r="H48" s="22" t="s">
        <v>732</v>
      </c>
      <c r="I48" s="22" t="s">
        <v>191</v>
      </c>
      <c r="J48" s="22" t="s">
        <v>775</v>
      </c>
      <c r="K48" s="22">
        <v>7</v>
      </c>
      <c r="L48" s="22">
        <v>7</v>
      </c>
      <c r="M48" s="22">
        <v>7</v>
      </c>
      <c r="N48" s="22">
        <v>10</v>
      </c>
      <c r="O48" s="22">
        <v>30</v>
      </c>
      <c r="P48" s="23">
        <v>4</v>
      </c>
      <c r="Q48" s="22">
        <v>7</v>
      </c>
      <c r="R48" s="22">
        <v>7</v>
      </c>
      <c r="S48" s="22" t="s">
        <v>6</v>
      </c>
      <c r="T48" s="23">
        <v>1</v>
      </c>
      <c r="U48" s="22">
        <v>6</v>
      </c>
      <c r="V48" s="22">
        <v>6</v>
      </c>
      <c r="W48" s="22" t="s">
        <v>6</v>
      </c>
      <c r="X48" s="22" t="s">
        <v>166</v>
      </c>
      <c r="Y48" s="22" t="s">
        <v>27</v>
      </c>
      <c r="Z48" s="22" t="s">
        <v>6</v>
      </c>
      <c r="AA48" s="22">
        <v>100</v>
      </c>
      <c r="AB48" s="22" t="s">
        <v>6</v>
      </c>
      <c r="AC48" s="22">
        <v>100</v>
      </c>
      <c r="AD48" s="22" t="s">
        <v>6</v>
      </c>
      <c r="AE48" s="22" t="s">
        <v>6</v>
      </c>
      <c r="AF48" s="22" t="s">
        <v>583</v>
      </c>
      <c r="AG48" s="22" t="s">
        <v>6</v>
      </c>
      <c r="AH48" s="30" t="b">
        <v>0</v>
      </c>
      <c r="AI48" s="22" t="s">
        <v>6</v>
      </c>
      <c r="AJ48" s="22" t="s">
        <v>6</v>
      </c>
    </row>
    <row r="49" spans="1:36" x14ac:dyDescent="0.25">
      <c r="A49" s="22" t="s">
        <v>758</v>
      </c>
      <c r="B49" s="22" t="s">
        <v>194</v>
      </c>
      <c r="C49" s="22">
        <v>1</v>
      </c>
      <c r="D49" s="22" t="s">
        <v>161</v>
      </c>
      <c r="E49" s="22" t="s">
        <v>196</v>
      </c>
      <c r="F49" s="22" t="s">
        <v>733</v>
      </c>
      <c r="G49" s="22" t="s">
        <v>6</v>
      </c>
      <c r="H49" s="22" t="s">
        <v>6</v>
      </c>
      <c r="I49" s="22" t="s">
        <v>6</v>
      </c>
      <c r="J49" s="22" t="s">
        <v>24</v>
      </c>
      <c r="K49" s="22" t="s">
        <v>6</v>
      </c>
      <c r="L49" s="22">
        <v>14</v>
      </c>
      <c r="M49" s="22">
        <v>14</v>
      </c>
      <c r="N49" s="22">
        <v>11</v>
      </c>
      <c r="O49" s="22">
        <v>31</v>
      </c>
      <c r="P49" s="23">
        <v>1</v>
      </c>
      <c r="Q49" s="22">
        <v>27</v>
      </c>
      <c r="R49" s="22">
        <v>27</v>
      </c>
      <c r="S49" s="22" t="s">
        <v>6</v>
      </c>
      <c r="T49" s="23">
        <v>1</v>
      </c>
      <c r="U49" s="22">
        <v>25</v>
      </c>
      <c r="V49" s="22">
        <v>25</v>
      </c>
      <c r="W49" s="22" t="s">
        <v>6</v>
      </c>
      <c r="X49" s="22" t="s">
        <v>35</v>
      </c>
      <c r="Y49" s="22" t="s">
        <v>27</v>
      </c>
      <c r="Z49" s="22" t="s">
        <v>6</v>
      </c>
      <c r="AA49" s="22">
        <v>0</v>
      </c>
      <c r="AB49" s="22" t="s">
        <v>6</v>
      </c>
      <c r="AC49" s="22">
        <v>0</v>
      </c>
      <c r="AD49" s="22" t="s">
        <v>6</v>
      </c>
      <c r="AE49" s="22" t="s">
        <v>6</v>
      </c>
      <c r="AF49" s="22" t="s">
        <v>197</v>
      </c>
      <c r="AG49" s="22" t="s">
        <v>6</v>
      </c>
      <c r="AH49" s="30" t="b">
        <v>0</v>
      </c>
      <c r="AI49" s="22" t="s">
        <v>6</v>
      </c>
      <c r="AJ49" s="22" t="s">
        <v>672</v>
      </c>
    </row>
    <row r="50" spans="1:36" x14ac:dyDescent="0.25">
      <c r="A50" s="22" t="s">
        <v>758</v>
      </c>
      <c r="B50" s="22" t="s">
        <v>194</v>
      </c>
      <c r="C50" s="22">
        <v>1</v>
      </c>
      <c r="D50" s="22" t="s">
        <v>614</v>
      </c>
      <c r="E50" s="22" t="s">
        <v>196</v>
      </c>
      <c r="F50" s="22" t="s">
        <v>733</v>
      </c>
      <c r="G50" s="22" t="s">
        <v>6</v>
      </c>
      <c r="H50" s="22" t="s">
        <v>6</v>
      </c>
      <c r="I50" s="22" t="s">
        <v>6</v>
      </c>
      <c r="J50" s="22" t="s">
        <v>24</v>
      </c>
      <c r="K50" s="22" t="s">
        <v>6</v>
      </c>
      <c r="L50" s="22">
        <v>14</v>
      </c>
      <c r="M50" s="22">
        <v>14</v>
      </c>
      <c r="N50" s="22">
        <v>11</v>
      </c>
      <c r="O50" s="22">
        <v>31</v>
      </c>
      <c r="P50" s="23">
        <v>2</v>
      </c>
      <c r="Q50" s="22">
        <v>20</v>
      </c>
      <c r="R50" s="22">
        <v>20</v>
      </c>
      <c r="S50" s="22" t="s">
        <v>6</v>
      </c>
      <c r="T50" s="23">
        <v>1</v>
      </c>
      <c r="U50" s="22">
        <v>25</v>
      </c>
      <c r="V50" s="22">
        <v>25</v>
      </c>
      <c r="W50" s="22" t="s">
        <v>6</v>
      </c>
      <c r="X50" s="22" t="s">
        <v>35</v>
      </c>
      <c r="Y50" s="22" t="s">
        <v>27</v>
      </c>
      <c r="Z50" s="22" t="s">
        <v>6</v>
      </c>
      <c r="AA50" s="22">
        <v>0</v>
      </c>
      <c r="AB50" s="22" t="s">
        <v>6</v>
      </c>
      <c r="AC50" s="22">
        <v>0</v>
      </c>
      <c r="AD50" s="22" t="s">
        <v>6</v>
      </c>
      <c r="AE50" s="22" t="s">
        <v>6</v>
      </c>
      <c r="AF50" s="22" t="s">
        <v>197</v>
      </c>
      <c r="AG50" s="22" t="s">
        <v>6</v>
      </c>
      <c r="AH50" s="30" t="b">
        <v>0</v>
      </c>
      <c r="AI50" s="22" t="s">
        <v>6</v>
      </c>
      <c r="AJ50" s="22" t="s">
        <v>672</v>
      </c>
    </row>
    <row r="51" spans="1:36" x14ac:dyDescent="0.25">
      <c r="A51" s="22" t="s">
        <v>758</v>
      </c>
      <c r="B51" s="22" t="s">
        <v>194</v>
      </c>
      <c r="C51" s="22">
        <v>1</v>
      </c>
      <c r="D51" s="22" t="s">
        <v>161</v>
      </c>
      <c r="E51" s="22" t="s">
        <v>196</v>
      </c>
      <c r="F51" s="22" t="s">
        <v>733</v>
      </c>
      <c r="G51" s="22" t="s">
        <v>6</v>
      </c>
      <c r="H51" s="22" t="s">
        <v>6</v>
      </c>
      <c r="I51" s="22" t="s">
        <v>6</v>
      </c>
      <c r="J51" s="22" t="s">
        <v>777</v>
      </c>
      <c r="K51" s="22">
        <v>1</v>
      </c>
      <c r="L51" s="22">
        <v>14</v>
      </c>
      <c r="M51" s="22">
        <v>14</v>
      </c>
      <c r="N51" s="22">
        <v>11</v>
      </c>
      <c r="O51" s="22">
        <v>32</v>
      </c>
      <c r="P51" s="23">
        <v>1</v>
      </c>
      <c r="Q51" s="22">
        <v>27</v>
      </c>
      <c r="R51" s="22">
        <v>27</v>
      </c>
      <c r="S51" s="22" t="s">
        <v>6</v>
      </c>
      <c r="T51" s="23">
        <v>1</v>
      </c>
      <c r="U51" s="22">
        <v>25</v>
      </c>
      <c r="V51" s="22">
        <v>25</v>
      </c>
      <c r="W51" s="22" t="s">
        <v>6</v>
      </c>
      <c r="X51" s="22" t="s">
        <v>198</v>
      </c>
      <c r="Y51" s="22" t="s">
        <v>27</v>
      </c>
      <c r="Z51" s="22" t="s">
        <v>6</v>
      </c>
      <c r="AA51" s="22">
        <f>7/27%</f>
        <v>25.925925925925924</v>
      </c>
      <c r="AB51" s="22" t="s">
        <v>6</v>
      </c>
      <c r="AC51" s="22">
        <f>19/25%</f>
        <v>76</v>
      </c>
      <c r="AD51" s="22" t="s">
        <v>6</v>
      </c>
      <c r="AE51" s="22" t="s">
        <v>6</v>
      </c>
      <c r="AF51" s="22" t="s">
        <v>199</v>
      </c>
      <c r="AG51" s="22" t="s">
        <v>200</v>
      </c>
      <c r="AH51" s="30" t="b">
        <v>0</v>
      </c>
      <c r="AI51" s="22" t="s">
        <v>6</v>
      </c>
      <c r="AJ51" s="22" t="s">
        <v>672</v>
      </c>
    </row>
    <row r="52" spans="1:36" x14ac:dyDescent="0.25">
      <c r="A52" s="22" t="s">
        <v>758</v>
      </c>
      <c r="B52" s="22" t="s">
        <v>194</v>
      </c>
      <c r="C52" s="22">
        <v>1</v>
      </c>
      <c r="D52" s="22" t="s">
        <v>614</v>
      </c>
      <c r="E52" s="22" t="s">
        <v>196</v>
      </c>
      <c r="F52" s="22" t="s">
        <v>733</v>
      </c>
      <c r="G52" s="22" t="s">
        <v>6</v>
      </c>
      <c r="H52" s="22" t="s">
        <v>6</v>
      </c>
      <c r="I52" s="22" t="s">
        <v>6</v>
      </c>
      <c r="J52" s="22" t="s">
        <v>777</v>
      </c>
      <c r="K52" s="22">
        <v>1</v>
      </c>
      <c r="L52" s="22">
        <v>14</v>
      </c>
      <c r="M52" s="22">
        <v>14</v>
      </c>
      <c r="N52" s="22">
        <v>11</v>
      </c>
      <c r="O52" s="22">
        <v>32</v>
      </c>
      <c r="P52" s="23">
        <v>2</v>
      </c>
      <c r="Q52" s="22">
        <v>20</v>
      </c>
      <c r="R52" s="22">
        <v>20</v>
      </c>
      <c r="S52" s="22" t="s">
        <v>6</v>
      </c>
      <c r="T52" s="23">
        <v>1</v>
      </c>
      <c r="U52" s="22">
        <v>25</v>
      </c>
      <c r="V52" s="22">
        <v>25</v>
      </c>
      <c r="W52" s="22" t="s">
        <v>6</v>
      </c>
      <c r="X52" s="22" t="s">
        <v>198</v>
      </c>
      <c r="Y52" s="22" t="s">
        <v>27</v>
      </c>
      <c r="Z52" s="22" t="s">
        <v>6</v>
      </c>
      <c r="AA52" s="22">
        <f>10/20%</f>
        <v>50</v>
      </c>
      <c r="AB52" s="22" t="s">
        <v>6</v>
      </c>
      <c r="AC52" s="22">
        <f>19/25%</f>
        <v>76</v>
      </c>
      <c r="AD52" s="22" t="s">
        <v>6</v>
      </c>
      <c r="AE52" s="22" t="s">
        <v>6</v>
      </c>
      <c r="AF52" s="22" t="s">
        <v>199</v>
      </c>
      <c r="AG52" s="22" t="s">
        <v>200</v>
      </c>
      <c r="AH52" s="30" t="b">
        <v>0</v>
      </c>
      <c r="AI52" s="22" t="s">
        <v>6</v>
      </c>
      <c r="AJ52" s="22" t="s">
        <v>672</v>
      </c>
    </row>
    <row r="53" spans="1:36" x14ac:dyDescent="0.25">
      <c r="A53" s="22" t="s">
        <v>758</v>
      </c>
      <c r="B53" s="22" t="s">
        <v>194</v>
      </c>
      <c r="C53" s="22">
        <v>1</v>
      </c>
      <c r="D53" s="22" t="s">
        <v>161</v>
      </c>
      <c r="E53" s="22" t="s">
        <v>196</v>
      </c>
      <c r="F53" s="22" t="s">
        <v>733</v>
      </c>
      <c r="G53" s="22" t="s">
        <v>6</v>
      </c>
      <c r="H53" s="22" t="s">
        <v>6</v>
      </c>
      <c r="I53" s="22" t="s">
        <v>6</v>
      </c>
      <c r="J53" s="22" t="s">
        <v>773</v>
      </c>
      <c r="K53" s="22">
        <v>1</v>
      </c>
      <c r="L53" s="22">
        <v>14</v>
      </c>
      <c r="M53" s="22">
        <v>14</v>
      </c>
      <c r="N53" s="22">
        <v>11</v>
      </c>
      <c r="O53" s="22">
        <v>33</v>
      </c>
      <c r="P53" s="23">
        <v>1</v>
      </c>
      <c r="Q53" s="22">
        <v>7</v>
      </c>
      <c r="R53" s="22">
        <v>7</v>
      </c>
      <c r="S53" s="22">
        <v>7</v>
      </c>
      <c r="T53" s="23">
        <v>1</v>
      </c>
      <c r="U53" s="22">
        <v>19</v>
      </c>
      <c r="V53" s="22">
        <v>19</v>
      </c>
      <c r="W53" s="22">
        <v>19</v>
      </c>
      <c r="X53" s="22" t="s">
        <v>201</v>
      </c>
      <c r="Y53" s="22" t="s">
        <v>192</v>
      </c>
      <c r="Z53" s="22" t="s">
        <v>133</v>
      </c>
      <c r="AA53" s="22">
        <v>203.7775</v>
      </c>
      <c r="AB53" s="22">
        <v>117.21259000000001</v>
      </c>
      <c r="AC53" s="22">
        <v>997.66060000000004</v>
      </c>
      <c r="AD53" s="22">
        <v>1148.41444</v>
      </c>
      <c r="AE53" s="22" t="s">
        <v>6</v>
      </c>
      <c r="AF53" s="22" t="s">
        <v>199</v>
      </c>
      <c r="AG53" s="22" t="s">
        <v>200</v>
      </c>
      <c r="AH53" s="30" t="b">
        <v>0</v>
      </c>
      <c r="AI53" s="22" t="s">
        <v>6</v>
      </c>
      <c r="AJ53" s="22" t="s">
        <v>6</v>
      </c>
    </row>
    <row r="54" spans="1:36" x14ac:dyDescent="0.25">
      <c r="A54" s="22" t="s">
        <v>758</v>
      </c>
      <c r="B54" s="22" t="s">
        <v>194</v>
      </c>
      <c r="C54" s="22">
        <v>1</v>
      </c>
      <c r="D54" s="22" t="s">
        <v>614</v>
      </c>
      <c r="E54" s="22" t="s">
        <v>196</v>
      </c>
      <c r="F54" s="22" t="s">
        <v>733</v>
      </c>
      <c r="G54" s="22" t="s">
        <v>6</v>
      </c>
      <c r="H54" s="22" t="s">
        <v>6</v>
      </c>
      <c r="I54" s="22" t="s">
        <v>6</v>
      </c>
      <c r="J54" s="22" t="s">
        <v>773</v>
      </c>
      <c r="K54" s="22">
        <v>1</v>
      </c>
      <c r="L54" s="22">
        <v>14</v>
      </c>
      <c r="M54" s="22">
        <v>14</v>
      </c>
      <c r="N54" s="22">
        <v>11</v>
      </c>
      <c r="O54" s="22">
        <v>33</v>
      </c>
      <c r="P54" s="23">
        <v>2</v>
      </c>
      <c r="Q54" s="22">
        <v>10</v>
      </c>
      <c r="R54" s="22">
        <v>10</v>
      </c>
      <c r="S54" s="22">
        <v>10</v>
      </c>
      <c r="T54" s="23">
        <v>1</v>
      </c>
      <c r="U54" s="22">
        <v>19</v>
      </c>
      <c r="V54" s="22">
        <v>19</v>
      </c>
      <c r="W54" s="22">
        <v>19</v>
      </c>
      <c r="X54" s="22" t="s">
        <v>201</v>
      </c>
      <c r="Y54" s="22" t="s">
        <v>192</v>
      </c>
      <c r="Z54" s="22" t="s">
        <v>133</v>
      </c>
      <c r="AA54" s="22">
        <v>744.84209999999996</v>
      </c>
      <c r="AB54" s="22">
        <v>430.61257000000001</v>
      </c>
      <c r="AC54" s="22">
        <v>997.66060000000004</v>
      </c>
      <c r="AD54" s="22">
        <v>1148.41444</v>
      </c>
      <c r="AE54" s="22" t="s">
        <v>6</v>
      </c>
      <c r="AF54" s="22" t="s">
        <v>199</v>
      </c>
      <c r="AG54" s="22" t="s">
        <v>200</v>
      </c>
      <c r="AH54" s="30" t="b">
        <v>0</v>
      </c>
      <c r="AI54" s="22" t="s">
        <v>6</v>
      </c>
      <c r="AJ54" s="22" t="s">
        <v>6</v>
      </c>
    </row>
    <row r="55" spans="1:36" x14ac:dyDescent="0.25">
      <c r="A55" s="22" t="s">
        <v>758</v>
      </c>
      <c r="B55" s="22" t="s">
        <v>210</v>
      </c>
      <c r="C55" s="22">
        <v>1</v>
      </c>
      <c r="D55" s="22" t="s">
        <v>139</v>
      </c>
      <c r="E55" s="22" t="s">
        <v>6</v>
      </c>
      <c r="F55" s="22" t="s">
        <v>6</v>
      </c>
      <c r="G55" s="22" t="s">
        <v>815</v>
      </c>
      <c r="H55" s="22" t="s">
        <v>6</v>
      </c>
      <c r="I55" s="22" t="s">
        <v>212</v>
      </c>
      <c r="J55" s="22" t="s">
        <v>24</v>
      </c>
      <c r="K55" s="22" t="s">
        <v>6</v>
      </c>
      <c r="L55" s="22">
        <v>36</v>
      </c>
      <c r="M55" s="22">
        <v>36</v>
      </c>
      <c r="N55" s="22">
        <v>19</v>
      </c>
      <c r="O55" s="22">
        <v>49</v>
      </c>
      <c r="P55" s="23">
        <v>1</v>
      </c>
      <c r="Q55" s="22">
        <v>7</v>
      </c>
      <c r="R55" s="22">
        <v>7</v>
      </c>
      <c r="S55" s="22" t="s">
        <v>6</v>
      </c>
      <c r="T55" s="23">
        <v>1</v>
      </c>
      <c r="U55" s="22">
        <v>8</v>
      </c>
      <c r="V55" s="22">
        <v>8</v>
      </c>
      <c r="W55" s="22" t="s">
        <v>6</v>
      </c>
      <c r="X55" s="22" t="s">
        <v>213</v>
      </c>
      <c r="Y55" s="22" t="s">
        <v>27</v>
      </c>
      <c r="Z55" s="22" t="s">
        <v>6</v>
      </c>
      <c r="AA55" s="22">
        <f>1/7%</f>
        <v>14.285714285714285</v>
      </c>
      <c r="AB55" s="22" t="s">
        <v>6</v>
      </c>
      <c r="AC55" s="22">
        <f>3/8%</f>
        <v>37.5</v>
      </c>
      <c r="AD55" s="22" t="s">
        <v>6</v>
      </c>
      <c r="AE55" s="22" t="s">
        <v>6</v>
      </c>
      <c r="AF55" s="22" t="s">
        <v>707</v>
      </c>
      <c r="AG55" s="22" t="s">
        <v>708</v>
      </c>
      <c r="AH55" s="30" t="b">
        <v>0</v>
      </c>
      <c r="AI55" s="22" t="s">
        <v>6</v>
      </c>
      <c r="AJ55" s="22" t="s">
        <v>765</v>
      </c>
    </row>
    <row r="56" spans="1:36" x14ac:dyDescent="0.25">
      <c r="A56" s="22" t="s">
        <v>758</v>
      </c>
      <c r="B56" s="22" t="s">
        <v>210</v>
      </c>
      <c r="C56" s="22">
        <v>1</v>
      </c>
      <c r="D56" s="22" t="s">
        <v>139</v>
      </c>
      <c r="E56" s="22" t="s">
        <v>6</v>
      </c>
      <c r="F56" s="22" t="s">
        <v>6</v>
      </c>
      <c r="G56" s="22" t="s">
        <v>815</v>
      </c>
      <c r="H56" s="22" t="s">
        <v>6</v>
      </c>
      <c r="I56" s="22" t="s">
        <v>211</v>
      </c>
      <c r="J56" s="22" t="s">
        <v>24</v>
      </c>
      <c r="K56" s="22" t="s">
        <v>6</v>
      </c>
      <c r="L56" s="22">
        <v>36</v>
      </c>
      <c r="M56" s="22">
        <v>36</v>
      </c>
      <c r="N56" s="22">
        <v>19</v>
      </c>
      <c r="O56" s="22">
        <v>49</v>
      </c>
      <c r="P56" s="23">
        <v>2</v>
      </c>
      <c r="Q56" s="22">
        <v>8</v>
      </c>
      <c r="R56" s="22">
        <v>8</v>
      </c>
      <c r="S56" s="22" t="s">
        <v>6</v>
      </c>
      <c r="T56" s="23">
        <v>1</v>
      </c>
      <c r="U56" s="22">
        <v>8</v>
      </c>
      <c r="V56" s="22">
        <v>8</v>
      </c>
      <c r="W56" s="22" t="s">
        <v>6</v>
      </c>
      <c r="X56" s="22" t="s">
        <v>213</v>
      </c>
      <c r="Y56" s="22" t="s">
        <v>27</v>
      </c>
      <c r="Z56" s="22" t="s">
        <v>6</v>
      </c>
      <c r="AA56" s="22">
        <f>7/8%</f>
        <v>87.5</v>
      </c>
      <c r="AB56" s="22" t="s">
        <v>6</v>
      </c>
      <c r="AC56" s="22">
        <f>3/8%</f>
        <v>37.5</v>
      </c>
      <c r="AD56" s="22" t="s">
        <v>6</v>
      </c>
      <c r="AE56" s="22" t="s">
        <v>6</v>
      </c>
      <c r="AF56" s="22" t="s">
        <v>707</v>
      </c>
      <c r="AG56" s="22" t="s">
        <v>708</v>
      </c>
      <c r="AH56" s="30" t="b">
        <v>0</v>
      </c>
      <c r="AI56" s="22" t="s">
        <v>6</v>
      </c>
      <c r="AJ56" s="22" t="s">
        <v>766</v>
      </c>
    </row>
    <row r="57" spans="1:36" x14ac:dyDescent="0.25">
      <c r="A57" s="22" t="s">
        <v>758</v>
      </c>
      <c r="B57" s="22" t="s">
        <v>210</v>
      </c>
      <c r="C57" s="22">
        <v>2</v>
      </c>
      <c r="D57" s="22" t="s">
        <v>139</v>
      </c>
      <c r="E57" s="22" t="s">
        <v>6</v>
      </c>
      <c r="F57" s="22" t="s">
        <v>6</v>
      </c>
      <c r="G57" s="22" t="s">
        <v>629</v>
      </c>
      <c r="H57" s="22" t="s">
        <v>6</v>
      </c>
      <c r="I57" s="22" t="s">
        <v>212</v>
      </c>
      <c r="J57" s="22" t="s">
        <v>24</v>
      </c>
      <c r="K57" s="22" t="s">
        <v>6</v>
      </c>
      <c r="L57" s="22">
        <v>36</v>
      </c>
      <c r="M57" s="22">
        <v>36</v>
      </c>
      <c r="N57" s="22">
        <v>20</v>
      </c>
      <c r="O57" s="22">
        <v>50</v>
      </c>
      <c r="P57" s="23">
        <v>1</v>
      </c>
      <c r="Q57" s="22">
        <v>5</v>
      </c>
      <c r="R57" s="22">
        <v>5</v>
      </c>
      <c r="S57" s="22" t="s">
        <v>6</v>
      </c>
      <c r="T57" s="23">
        <v>1</v>
      </c>
      <c r="U57" s="22">
        <v>8</v>
      </c>
      <c r="V57" s="22">
        <v>8</v>
      </c>
      <c r="W57" s="22" t="s">
        <v>6</v>
      </c>
      <c r="X57" s="22" t="s">
        <v>213</v>
      </c>
      <c r="Y57" s="22" t="s">
        <v>27</v>
      </c>
      <c r="Z57" s="22" t="s">
        <v>6</v>
      </c>
      <c r="AA57" s="22">
        <f>2/5%</f>
        <v>40</v>
      </c>
      <c r="AB57" s="22" t="s">
        <v>6</v>
      </c>
      <c r="AC57" s="22">
        <f>7/8%</f>
        <v>87.5</v>
      </c>
      <c r="AD57" s="22" t="s">
        <v>6</v>
      </c>
      <c r="AE57" s="22" t="s">
        <v>6</v>
      </c>
      <c r="AF57" s="22" t="s">
        <v>707</v>
      </c>
      <c r="AG57" s="22" t="s">
        <v>708</v>
      </c>
      <c r="AH57" s="30" t="b">
        <v>0</v>
      </c>
      <c r="AI57" s="22" t="s">
        <v>6</v>
      </c>
      <c r="AJ57" s="22" t="s">
        <v>644</v>
      </c>
    </row>
    <row r="58" spans="1:36" x14ac:dyDescent="0.25">
      <c r="A58" s="22" t="s">
        <v>758</v>
      </c>
      <c r="B58" s="22" t="s">
        <v>210</v>
      </c>
      <c r="C58" s="22">
        <v>2</v>
      </c>
      <c r="D58" s="22" t="s">
        <v>139</v>
      </c>
      <c r="E58" s="22" t="s">
        <v>6</v>
      </c>
      <c r="F58" s="22" t="s">
        <v>6</v>
      </c>
      <c r="G58" s="22" t="s">
        <v>629</v>
      </c>
      <c r="H58" s="22" t="s">
        <v>6</v>
      </c>
      <c r="I58" s="22" t="s">
        <v>211</v>
      </c>
      <c r="J58" s="22" t="s">
        <v>24</v>
      </c>
      <c r="K58" s="22" t="s">
        <v>6</v>
      </c>
      <c r="L58" s="22">
        <v>36</v>
      </c>
      <c r="M58" s="22">
        <v>36</v>
      </c>
      <c r="N58" s="22">
        <v>20</v>
      </c>
      <c r="O58" s="22">
        <v>50</v>
      </c>
      <c r="P58" s="23">
        <v>2</v>
      </c>
      <c r="Q58" s="22">
        <v>8</v>
      </c>
      <c r="R58" s="22">
        <v>8</v>
      </c>
      <c r="S58" s="22" t="s">
        <v>6</v>
      </c>
      <c r="T58" s="23">
        <v>1</v>
      </c>
      <c r="U58" s="22">
        <v>8</v>
      </c>
      <c r="V58" s="22">
        <v>8</v>
      </c>
      <c r="W58" s="22" t="s">
        <v>6</v>
      </c>
      <c r="X58" s="22" t="s">
        <v>213</v>
      </c>
      <c r="Y58" s="22" t="s">
        <v>27</v>
      </c>
      <c r="Z58" s="22" t="s">
        <v>6</v>
      </c>
      <c r="AA58" s="22">
        <f>8/8%</f>
        <v>100</v>
      </c>
      <c r="AB58" s="22" t="s">
        <v>6</v>
      </c>
      <c r="AC58" s="22">
        <f>7/8%</f>
        <v>87.5</v>
      </c>
      <c r="AD58" s="22" t="s">
        <v>6</v>
      </c>
      <c r="AE58" s="22" t="s">
        <v>6</v>
      </c>
      <c r="AF58" s="22" t="s">
        <v>707</v>
      </c>
      <c r="AG58" s="22" t="s">
        <v>708</v>
      </c>
      <c r="AH58" s="30" t="b">
        <v>0</v>
      </c>
      <c r="AI58" s="22" t="s">
        <v>6</v>
      </c>
      <c r="AJ58" s="22" t="s">
        <v>215</v>
      </c>
    </row>
    <row r="59" spans="1:36" x14ac:dyDescent="0.25">
      <c r="A59" s="22" t="s">
        <v>758</v>
      </c>
      <c r="B59" s="22" t="s">
        <v>210</v>
      </c>
      <c r="C59" s="22">
        <v>1</v>
      </c>
      <c r="D59" s="22" t="s">
        <v>139</v>
      </c>
      <c r="E59" s="22" t="s">
        <v>6</v>
      </c>
      <c r="F59" s="22" t="s">
        <v>6</v>
      </c>
      <c r="G59" s="22" t="s">
        <v>815</v>
      </c>
      <c r="H59" s="22" t="s">
        <v>6</v>
      </c>
      <c r="I59" s="22" t="s">
        <v>212</v>
      </c>
      <c r="J59" s="22" t="s">
        <v>775</v>
      </c>
      <c r="K59" s="22">
        <v>3</v>
      </c>
      <c r="L59" s="22">
        <v>8</v>
      </c>
      <c r="M59" s="22">
        <v>8</v>
      </c>
      <c r="N59" s="22">
        <v>19</v>
      </c>
      <c r="O59" s="22">
        <v>51</v>
      </c>
      <c r="P59" s="23">
        <v>1</v>
      </c>
      <c r="Q59" s="22">
        <v>7</v>
      </c>
      <c r="R59" s="22">
        <v>7</v>
      </c>
      <c r="S59" s="22" t="s">
        <v>6</v>
      </c>
      <c r="T59" s="23">
        <v>1</v>
      </c>
      <c r="U59" s="22">
        <v>8</v>
      </c>
      <c r="V59" s="22">
        <v>8</v>
      </c>
      <c r="W59" s="22" t="s">
        <v>6</v>
      </c>
      <c r="X59" s="22" t="s">
        <v>166</v>
      </c>
      <c r="Y59" s="22" t="s">
        <v>27</v>
      </c>
      <c r="Z59" s="22" t="s">
        <v>6</v>
      </c>
      <c r="AA59" s="22">
        <f>2/7%</f>
        <v>28.571428571428569</v>
      </c>
      <c r="AB59" s="22" t="s">
        <v>6</v>
      </c>
      <c r="AC59" s="22">
        <f>5/8%</f>
        <v>62.5</v>
      </c>
      <c r="AD59" s="22" t="s">
        <v>6</v>
      </c>
      <c r="AE59" s="22" t="s">
        <v>6</v>
      </c>
      <c r="AF59" s="22" t="s">
        <v>214</v>
      </c>
      <c r="AG59" s="22" t="s">
        <v>708</v>
      </c>
      <c r="AH59" s="30" t="b">
        <v>0</v>
      </c>
      <c r="AI59" s="22" t="s">
        <v>6</v>
      </c>
      <c r="AJ59" s="22" t="s">
        <v>767</v>
      </c>
    </row>
    <row r="60" spans="1:36" x14ac:dyDescent="0.25">
      <c r="A60" s="22" t="s">
        <v>758</v>
      </c>
      <c r="B60" s="22" t="s">
        <v>210</v>
      </c>
      <c r="C60" s="22">
        <v>1</v>
      </c>
      <c r="D60" s="22" t="s">
        <v>139</v>
      </c>
      <c r="E60" s="22" t="s">
        <v>6</v>
      </c>
      <c r="F60" s="22" t="s">
        <v>6</v>
      </c>
      <c r="G60" s="22" t="s">
        <v>815</v>
      </c>
      <c r="H60" s="22" t="s">
        <v>6</v>
      </c>
      <c r="I60" s="22" t="s">
        <v>211</v>
      </c>
      <c r="J60" s="22" t="s">
        <v>775</v>
      </c>
      <c r="K60" s="22">
        <v>3</v>
      </c>
      <c r="L60" s="22">
        <v>8</v>
      </c>
      <c r="M60" s="22">
        <v>8</v>
      </c>
      <c r="N60" s="22">
        <v>19</v>
      </c>
      <c r="O60" s="22">
        <v>51</v>
      </c>
      <c r="P60" s="23">
        <v>2</v>
      </c>
      <c r="Q60" s="22">
        <v>8</v>
      </c>
      <c r="R60" s="22">
        <v>8</v>
      </c>
      <c r="S60" s="22" t="s">
        <v>6</v>
      </c>
      <c r="T60" s="23">
        <v>1</v>
      </c>
      <c r="U60" s="22">
        <v>8</v>
      </c>
      <c r="V60" s="22">
        <v>8</v>
      </c>
      <c r="W60" s="22" t="s">
        <v>6</v>
      </c>
      <c r="X60" s="22" t="s">
        <v>166</v>
      </c>
      <c r="Y60" s="22" t="s">
        <v>27</v>
      </c>
      <c r="Z60" s="22" t="s">
        <v>6</v>
      </c>
      <c r="AA60" s="22">
        <f>2/8%</f>
        <v>25</v>
      </c>
      <c r="AB60" s="22" t="s">
        <v>6</v>
      </c>
      <c r="AC60" s="22">
        <f>5/8%</f>
        <v>62.5</v>
      </c>
      <c r="AD60" s="22" t="s">
        <v>6</v>
      </c>
      <c r="AE60" s="22" t="s">
        <v>6</v>
      </c>
      <c r="AF60" s="22" t="s">
        <v>214</v>
      </c>
      <c r="AG60" s="22" t="s">
        <v>708</v>
      </c>
      <c r="AH60" s="30" t="b">
        <v>0</v>
      </c>
      <c r="AI60" s="22" t="s">
        <v>6</v>
      </c>
      <c r="AJ60" s="22" t="s">
        <v>766</v>
      </c>
    </row>
    <row r="61" spans="1:36" x14ac:dyDescent="0.25">
      <c r="A61" s="22" t="s">
        <v>758</v>
      </c>
      <c r="B61" s="22" t="s">
        <v>210</v>
      </c>
      <c r="C61" s="22">
        <v>2</v>
      </c>
      <c r="D61" s="22" t="s">
        <v>139</v>
      </c>
      <c r="E61" s="22" t="s">
        <v>6</v>
      </c>
      <c r="F61" s="22" t="s">
        <v>6</v>
      </c>
      <c r="G61" s="22" t="s">
        <v>629</v>
      </c>
      <c r="H61" s="22" t="s">
        <v>6</v>
      </c>
      <c r="I61" s="22" t="s">
        <v>212</v>
      </c>
      <c r="J61" s="22" t="s">
        <v>775</v>
      </c>
      <c r="K61" s="22">
        <v>3</v>
      </c>
      <c r="L61" s="22">
        <v>8</v>
      </c>
      <c r="M61" s="22">
        <v>8</v>
      </c>
      <c r="N61" s="22">
        <v>20</v>
      </c>
      <c r="O61" s="22">
        <v>52</v>
      </c>
      <c r="P61" s="23">
        <v>1</v>
      </c>
      <c r="Q61" s="22">
        <v>5</v>
      </c>
      <c r="R61" s="22">
        <v>5</v>
      </c>
      <c r="S61" s="22" t="s">
        <v>6</v>
      </c>
      <c r="T61" s="23">
        <v>1</v>
      </c>
      <c r="U61" s="22">
        <v>8</v>
      </c>
      <c r="V61" s="22">
        <v>8</v>
      </c>
      <c r="W61" s="22" t="s">
        <v>6</v>
      </c>
      <c r="X61" s="22" t="s">
        <v>166</v>
      </c>
      <c r="Y61" s="22" t="s">
        <v>27</v>
      </c>
      <c r="Z61" s="22" t="s">
        <v>6</v>
      </c>
      <c r="AA61" s="22">
        <f>1/5%</f>
        <v>20</v>
      </c>
      <c r="AB61" s="22" t="s">
        <v>6</v>
      </c>
      <c r="AC61" s="22">
        <f>1/8%</f>
        <v>12.5</v>
      </c>
      <c r="AD61" s="22" t="s">
        <v>6</v>
      </c>
      <c r="AE61" s="22" t="s">
        <v>6</v>
      </c>
      <c r="AF61" s="22" t="s">
        <v>214</v>
      </c>
      <c r="AG61" s="22" t="s">
        <v>708</v>
      </c>
      <c r="AH61" s="30" t="b">
        <v>0</v>
      </c>
      <c r="AI61" s="22" t="s">
        <v>6</v>
      </c>
      <c r="AJ61" s="22" t="s">
        <v>643</v>
      </c>
    </row>
    <row r="62" spans="1:36" x14ac:dyDescent="0.25">
      <c r="A62" s="22" t="s">
        <v>758</v>
      </c>
      <c r="B62" s="22" t="s">
        <v>210</v>
      </c>
      <c r="C62" s="22">
        <v>2</v>
      </c>
      <c r="D62" s="22" t="s">
        <v>139</v>
      </c>
      <c r="E62" s="22" t="s">
        <v>6</v>
      </c>
      <c r="F62" s="22" t="s">
        <v>6</v>
      </c>
      <c r="G62" s="22" t="s">
        <v>629</v>
      </c>
      <c r="H62" s="22" t="s">
        <v>6</v>
      </c>
      <c r="I62" s="22" t="s">
        <v>211</v>
      </c>
      <c r="J62" s="22" t="s">
        <v>775</v>
      </c>
      <c r="K62" s="22">
        <v>3</v>
      </c>
      <c r="L62" s="22">
        <v>8</v>
      </c>
      <c r="M62" s="22">
        <v>8</v>
      </c>
      <c r="N62" s="22">
        <v>20</v>
      </c>
      <c r="O62" s="22">
        <v>52</v>
      </c>
      <c r="P62" s="23">
        <v>2</v>
      </c>
      <c r="Q62" s="22">
        <v>8</v>
      </c>
      <c r="R62" s="22">
        <v>8</v>
      </c>
      <c r="S62" s="22" t="s">
        <v>6</v>
      </c>
      <c r="T62" s="23">
        <v>1</v>
      </c>
      <c r="U62" s="22">
        <v>8</v>
      </c>
      <c r="V62" s="22">
        <v>8</v>
      </c>
      <c r="W62" s="22" t="s">
        <v>6</v>
      </c>
      <c r="X62" s="22" t="s">
        <v>166</v>
      </c>
      <c r="Y62" s="22" t="s">
        <v>27</v>
      </c>
      <c r="Z62" s="22" t="s">
        <v>6</v>
      </c>
      <c r="AA62" s="22">
        <f>3/8%</f>
        <v>37.5</v>
      </c>
      <c r="AB62" s="22" t="s">
        <v>6</v>
      </c>
      <c r="AC62" s="22">
        <f>1/8%</f>
        <v>12.5</v>
      </c>
      <c r="AD62" s="22" t="s">
        <v>6</v>
      </c>
      <c r="AE62" s="22" t="s">
        <v>6</v>
      </c>
      <c r="AF62" s="22" t="s">
        <v>214</v>
      </c>
      <c r="AG62" s="22" t="s">
        <v>708</v>
      </c>
      <c r="AH62" s="30" t="b">
        <v>0</v>
      </c>
      <c r="AI62" s="22" t="s">
        <v>6</v>
      </c>
      <c r="AJ62" s="22" t="s">
        <v>215</v>
      </c>
    </row>
    <row r="63" spans="1:36" x14ac:dyDescent="0.25">
      <c r="A63" s="22" t="s">
        <v>758</v>
      </c>
      <c r="B63" s="22" t="s">
        <v>216</v>
      </c>
      <c r="C63" s="22">
        <v>1</v>
      </c>
      <c r="D63" s="22" t="s">
        <v>139</v>
      </c>
      <c r="E63" s="22" t="s">
        <v>6</v>
      </c>
      <c r="F63" s="22" t="s">
        <v>6</v>
      </c>
      <c r="G63" s="22" t="s">
        <v>633</v>
      </c>
      <c r="H63" s="22" t="s">
        <v>6</v>
      </c>
      <c r="I63" s="22" t="s">
        <v>204</v>
      </c>
      <c r="J63" s="22" t="s">
        <v>24</v>
      </c>
      <c r="K63" s="22" t="s">
        <v>6</v>
      </c>
      <c r="L63" s="22">
        <v>55.334370139968897</v>
      </c>
      <c r="M63" s="22">
        <v>62.051282051282101</v>
      </c>
      <c r="N63" s="22">
        <v>21</v>
      </c>
      <c r="O63" s="22">
        <v>53</v>
      </c>
      <c r="P63" s="23">
        <v>1</v>
      </c>
      <c r="Q63" s="22">
        <v>11</v>
      </c>
      <c r="R63" s="22">
        <v>11</v>
      </c>
      <c r="S63" s="22" t="s">
        <v>6</v>
      </c>
      <c r="T63" s="23">
        <v>1</v>
      </c>
      <c r="U63" s="22">
        <v>10</v>
      </c>
      <c r="V63" s="22">
        <v>10</v>
      </c>
      <c r="W63" s="22" t="s">
        <v>6</v>
      </c>
      <c r="X63" s="22" t="s">
        <v>205</v>
      </c>
      <c r="Y63" s="22" t="s">
        <v>27</v>
      </c>
      <c r="Z63" s="22" t="s">
        <v>6</v>
      </c>
      <c r="AA63" s="22">
        <v>100</v>
      </c>
      <c r="AB63" s="22" t="s">
        <v>6</v>
      </c>
      <c r="AC63" s="22">
        <v>89.772727272727295</v>
      </c>
      <c r="AD63" s="22" t="s">
        <v>6</v>
      </c>
      <c r="AE63" s="22" t="s">
        <v>623</v>
      </c>
      <c r="AF63" s="22" t="s">
        <v>218</v>
      </c>
      <c r="AG63" s="22" t="s">
        <v>6</v>
      </c>
      <c r="AH63" s="30" t="b">
        <v>0</v>
      </c>
      <c r="AI63" s="22" t="s">
        <v>6</v>
      </c>
      <c r="AJ63" s="22" t="s">
        <v>219</v>
      </c>
    </row>
    <row r="64" spans="1:36" x14ac:dyDescent="0.25">
      <c r="A64" s="22" t="s">
        <v>758</v>
      </c>
      <c r="B64" s="22" t="s">
        <v>216</v>
      </c>
      <c r="C64" s="22">
        <v>2</v>
      </c>
      <c r="D64" s="22" t="s">
        <v>139</v>
      </c>
      <c r="E64" s="22" t="s">
        <v>6</v>
      </c>
      <c r="F64" s="22" t="s">
        <v>6</v>
      </c>
      <c r="G64" s="22" t="s">
        <v>633</v>
      </c>
      <c r="H64" s="22" t="s">
        <v>6</v>
      </c>
      <c r="I64" s="22" t="s">
        <v>204</v>
      </c>
      <c r="J64" s="22" t="s">
        <v>24</v>
      </c>
      <c r="K64" s="22" t="s">
        <v>6</v>
      </c>
      <c r="L64" s="22">
        <v>62.115384615384599</v>
      </c>
      <c r="M64" s="22">
        <v>62.11538462</v>
      </c>
      <c r="N64" s="22">
        <v>22</v>
      </c>
      <c r="O64" s="22">
        <v>54</v>
      </c>
      <c r="P64" s="23">
        <v>1</v>
      </c>
      <c r="Q64" s="22">
        <v>11</v>
      </c>
      <c r="R64" s="22">
        <v>11</v>
      </c>
      <c r="S64" s="22" t="s">
        <v>6</v>
      </c>
      <c r="T64" s="23">
        <v>1</v>
      </c>
      <c r="U64" s="22">
        <v>10</v>
      </c>
      <c r="V64" s="22">
        <v>10</v>
      </c>
      <c r="W64" s="22" t="s">
        <v>6</v>
      </c>
      <c r="X64" s="22" t="s">
        <v>205</v>
      </c>
      <c r="Y64" s="22" t="s">
        <v>27</v>
      </c>
      <c r="Z64" s="22" t="s">
        <v>6</v>
      </c>
      <c r="AA64" s="22">
        <v>81.818181818181799</v>
      </c>
      <c r="AB64" s="22" t="s">
        <v>6</v>
      </c>
      <c r="AC64" s="22">
        <v>90.000000000000014</v>
      </c>
      <c r="AD64" s="22" t="s">
        <v>6</v>
      </c>
      <c r="AE64" s="22" t="s">
        <v>623</v>
      </c>
      <c r="AF64" s="22" t="s">
        <v>217</v>
      </c>
      <c r="AG64" s="22" t="s">
        <v>6</v>
      </c>
      <c r="AH64" s="30" t="b">
        <v>0</v>
      </c>
      <c r="AI64" s="22" t="s">
        <v>6</v>
      </c>
      <c r="AJ64" s="22" t="s">
        <v>219</v>
      </c>
    </row>
    <row r="65" spans="1:36" x14ac:dyDescent="0.25">
      <c r="A65" s="22" t="s">
        <v>758</v>
      </c>
      <c r="B65" s="22" t="s">
        <v>216</v>
      </c>
      <c r="C65" s="22">
        <v>1</v>
      </c>
      <c r="D65" s="22" t="s">
        <v>139</v>
      </c>
      <c r="E65" s="22" t="s">
        <v>6</v>
      </c>
      <c r="F65" s="22" t="s">
        <v>6</v>
      </c>
      <c r="G65" s="22" t="s">
        <v>633</v>
      </c>
      <c r="H65" s="22" t="s">
        <v>6</v>
      </c>
      <c r="I65" s="22" t="s">
        <v>204</v>
      </c>
      <c r="J65" s="22" t="s">
        <v>776</v>
      </c>
      <c r="K65" s="22">
        <v>9</v>
      </c>
      <c r="L65" s="22">
        <f t="shared" ref="L65:M68" si="0">(9*7)/2</f>
        <v>31.5</v>
      </c>
      <c r="M65" s="22">
        <f t="shared" si="0"/>
        <v>31.5</v>
      </c>
      <c r="N65" s="22">
        <v>21</v>
      </c>
      <c r="O65" s="22">
        <v>55</v>
      </c>
      <c r="P65" s="23">
        <v>1</v>
      </c>
      <c r="Q65" s="22">
        <v>11</v>
      </c>
      <c r="R65" s="22">
        <v>11</v>
      </c>
      <c r="S65" s="22" t="s">
        <v>6</v>
      </c>
      <c r="T65" s="23">
        <v>1</v>
      </c>
      <c r="U65" s="22">
        <v>10</v>
      </c>
      <c r="V65" s="22">
        <v>10</v>
      </c>
      <c r="W65" s="22" t="s">
        <v>6</v>
      </c>
      <c r="X65" s="22" t="s">
        <v>220</v>
      </c>
      <c r="Y65" s="22" t="s">
        <v>27</v>
      </c>
      <c r="Z65" s="22" t="s">
        <v>6</v>
      </c>
      <c r="AA65" s="22">
        <v>93.881856540084399</v>
      </c>
      <c r="AB65" s="22" t="s">
        <v>6</v>
      </c>
      <c r="AC65" s="36">
        <v>91.139240506329102</v>
      </c>
      <c r="AD65" s="22" t="s">
        <v>6</v>
      </c>
      <c r="AE65" s="22" t="s">
        <v>623</v>
      </c>
      <c r="AF65" s="22" t="s">
        <v>221</v>
      </c>
      <c r="AG65" s="22" t="s">
        <v>6</v>
      </c>
      <c r="AH65" s="30" t="b">
        <v>0</v>
      </c>
      <c r="AI65" s="22" t="s">
        <v>6</v>
      </c>
      <c r="AJ65" s="22" t="s">
        <v>710</v>
      </c>
    </row>
    <row r="66" spans="1:36" x14ac:dyDescent="0.25">
      <c r="A66" s="22" t="s">
        <v>758</v>
      </c>
      <c r="B66" s="22" t="s">
        <v>216</v>
      </c>
      <c r="C66" s="22">
        <v>2</v>
      </c>
      <c r="D66" s="22" t="s">
        <v>139</v>
      </c>
      <c r="E66" s="22" t="s">
        <v>6</v>
      </c>
      <c r="F66" s="22" t="s">
        <v>6</v>
      </c>
      <c r="G66" s="22" t="s">
        <v>633</v>
      </c>
      <c r="H66" s="22" t="s">
        <v>6</v>
      </c>
      <c r="I66" s="22" t="s">
        <v>204</v>
      </c>
      <c r="J66" s="22" t="s">
        <v>776</v>
      </c>
      <c r="K66" s="22">
        <v>9</v>
      </c>
      <c r="L66" s="22">
        <f t="shared" si="0"/>
        <v>31.5</v>
      </c>
      <c r="M66" s="22">
        <f t="shared" si="0"/>
        <v>31.5</v>
      </c>
      <c r="N66" s="22">
        <v>22</v>
      </c>
      <c r="O66" s="22">
        <v>56</v>
      </c>
      <c r="P66" s="23">
        <v>1</v>
      </c>
      <c r="Q66" s="22">
        <v>11</v>
      </c>
      <c r="R66" s="22">
        <v>11</v>
      </c>
      <c r="S66" s="22" t="s">
        <v>6</v>
      </c>
      <c r="T66" s="23">
        <v>1</v>
      </c>
      <c r="U66" s="22">
        <v>10</v>
      </c>
      <c r="V66" s="22">
        <v>10</v>
      </c>
      <c r="W66" s="22" t="s">
        <v>6</v>
      </c>
      <c r="X66" s="22" t="s">
        <v>220</v>
      </c>
      <c r="Y66" s="22" t="s">
        <v>27</v>
      </c>
      <c r="Z66" s="22" t="s">
        <v>6</v>
      </c>
      <c r="AA66" s="22">
        <v>25.949367088607602</v>
      </c>
      <c r="AB66" s="22" t="s">
        <v>6</v>
      </c>
      <c r="AC66" s="36">
        <v>20.464135021097</v>
      </c>
      <c r="AD66" s="22" t="s">
        <v>6</v>
      </c>
      <c r="AE66" s="22" t="s">
        <v>623</v>
      </c>
      <c r="AF66" s="22" t="s">
        <v>221</v>
      </c>
      <c r="AG66" s="22" t="s">
        <v>6</v>
      </c>
      <c r="AH66" s="30" t="b">
        <v>0</v>
      </c>
      <c r="AI66" s="22" t="s">
        <v>6</v>
      </c>
      <c r="AJ66" s="22" t="s">
        <v>710</v>
      </c>
    </row>
    <row r="67" spans="1:36" x14ac:dyDescent="0.25">
      <c r="A67" s="22" t="s">
        <v>758</v>
      </c>
      <c r="B67" s="22" t="s">
        <v>216</v>
      </c>
      <c r="C67" s="22">
        <v>1</v>
      </c>
      <c r="D67" s="22" t="s">
        <v>139</v>
      </c>
      <c r="E67" s="22" t="s">
        <v>6</v>
      </c>
      <c r="F67" s="22" t="s">
        <v>6</v>
      </c>
      <c r="G67" s="22" t="s">
        <v>633</v>
      </c>
      <c r="H67" s="22" t="s">
        <v>6</v>
      </c>
      <c r="I67" s="22" t="s">
        <v>204</v>
      </c>
      <c r="J67" s="22" t="s">
        <v>772</v>
      </c>
      <c r="K67" s="22">
        <v>9</v>
      </c>
      <c r="L67" s="22">
        <f t="shared" si="0"/>
        <v>31.5</v>
      </c>
      <c r="M67" s="22">
        <f t="shared" si="0"/>
        <v>31.5</v>
      </c>
      <c r="N67" s="22">
        <v>21</v>
      </c>
      <c r="O67" s="22">
        <v>57</v>
      </c>
      <c r="P67" s="23">
        <v>1</v>
      </c>
      <c r="Q67" s="22">
        <v>11</v>
      </c>
      <c r="R67" s="22">
        <v>11</v>
      </c>
      <c r="S67" s="22">
        <v>11</v>
      </c>
      <c r="T67" s="23">
        <v>1</v>
      </c>
      <c r="U67" s="22">
        <v>10</v>
      </c>
      <c r="V67" s="22">
        <v>10</v>
      </c>
      <c r="W67" s="22">
        <v>10</v>
      </c>
      <c r="X67" s="22" t="s">
        <v>223</v>
      </c>
      <c r="Y67" s="22" t="s">
        <v>222</v>
      </c>
      <c r="Z67" s="22" t="s">
        <v>51</v>
      </c>
      <c r="AA67">
        <v>4.7560000000000002</v>
      </c>
      <c r="AB67">
        <v>0.16</v>
      </c>
      <c r="AC67">
        <v>4.3490000000000002</v>
      </c>
      <c r="AD67">
        <v>0.25600000000000001</v>
      </c>
      <c r="AE67" s="22" t="s">
        <v>623</v>
      </c>
      <c r="AF67" s="22" t="s">
        <v>818</v>
      </c>
      <c r="AG67" s="22" t="s">
        <v>6</v>
      </c>
      <c r="AH67" s="30" t="b">
        <v>1</v>
      </c>
      <c r="AI67" s="22" t="s">
        <v>819</v>
      </c>
      <c r="AJ67" s="22" t="s">
        <v>6</v>
      </c>
    </row>
    <row r="68" spans="1:36" ht="21" customHeight="1" x14ac:dyDescent="0.25">
      <c r="A68" s="22" t="s">
        <v>758</v>
      </c>
      <c r="B68" s="22" t="s">
        <v>216</v>
      </c>
      <c r="C68" s="22">
        <v>2</v>
      </c>
      <c r="D68" s="22" t="s">
        <v>139</v>
      </c>
      <c r="E68" s="22" t="s">
        <v>6</v>
      </c>
      <c r="F68" s="22" t="s">
        <v>6</v>
      </c>
      <c r="G68" s="22" t="s">
        <v>633</v>
      </c>
      <c r="H68" s="22" t="s">
        <v>6</v>
      </c>
      <c r="I68" s="22" t="s">
        <v>204</v>
      </c>
      <c r="J68" s="22" t="s">
        <v>772</v>
      </c>
      <c r="K68" s="22">
        <v>9</v>
      </c>
      <c r="L68" s="22">
        <f t="shared" si="0"/>
        <v>31.5</v>
      </c>
      <c r="M68" s="22">
        <f t="shared" si="0"/>
        <v>31.5</v>
      </c>
      <c r="N68" s="22">
        <v>22</v>
      </c>
      <c r="O68" s="22">
        <v>58</v>
      </c>
      <c r="P68" s="23">
        <v>1</v>
      </c>
      <c r="Q68" s="22">
        <v>11</v>
      </c>
      <c r="R68" s="22">
        <v>11</v>
      </c>
      <c r="S68" s="22">
        <v>11</v>
      </c>
      <c r="T68" s="23">
        <v>1</v>
      </c>
      <c r="U68" s="22">
        <v>10</v>
      </c>
      <c r="V68" s="22">
        <v>10</v>
      </c>
      <c r="W68" s="22">
        <v>10</v>
      </c>
      <c r="X68" s="22" t="s">
        <v>223</v>
      </c>
      <c r="Y68" s="22" t="s">
        <v>222</v>
      </c>
      <c r="Z68" s="22" t="s">
        <v>51</v>
      </c>
      <c r="AA68">
        <v>0.76200000000000001</v>
      </c>
      <c r="AB68">
        <v>0.19</v>
      </c>
      <c r="AC68">
        <v>0.625</v>
      </c>
      <c r="AD68">
        <v>0.27600000000000002</v>
      </c>
      <c r="AE68" s="22" t="s">
        <v>623</v>
      </c>
      <c r="AF68" s="22" t="s">
        <v>818</v>
      </c>
      <c r="AG68" s="22" t="s">
        <v>6</v>
      </c>
      <c r="AH68" s="30" t="b">
        <v>1</v>
      </c>
      <c r="AI68" s="22" t="s">
        <v>819</v>
      </c>
      <c r="AJ68" s="22" t="s">
        <v>6</v>
      </c>
    </row>
    <row r="69" spans="1:36" x14ac:dyDescent="0.25">
      <c r="A69" s="22" t="s">
        <v>758</v>
      </c>
      <c r="B69" s="22" t="s">
        <v>224</v>
      </c>
      <c r="C69" s="22">
        <v>1</v>
      </c>
      <c r="D69" s="22" t="s">
        <v>163</v>
      </c>
      <c r="E69" s="22" t="s">
        <v>6</v>
      </c>
      <c r="F69" s="22" t="s">
        <v>6</v>
      </c>
      <c r="G69" s="22" t="s">
        <v>6</v>
      </c>
      <c r="H69" s="22" t="s">
        <v>6</v>
      </c>
      <c r="I69" s="22" t="s">
        <v>229</v>
      </c>
      <c r="J69" s="22" t="s">
        <v>774</v>
      </c>
      <c r="K69" s="22">
        <v>2</v>
      </c>
      <c r="L69" s="22">
        <v>21</v>
      </c>
      <c r="M69" s="22">
        <v>21</v>
      </c>
      <c r="N69" s="22">
        <v>23</v>
      </c>
      <c r="O69" s="22">
        <v>59</v>
      </c>
      <c r="P69" s="23">
        <v>1</v>
      </c>
      <c r="Q69" s="22">
        <v>7</v>
      </c>
      <c r="R69" s="22">
        <v>7</v>
      </c>
      <c r="S69" s="22">
        <v>7</v>
      </c>
      <c r="T69" s="23">
        <v>1</v>
      </c>
      <c r="U69" s="22">
        <v>7</v>
      </c>
      <c r="V69" s="22">
        <v>7</v>
      </c>
      <c r="W69" s="22">
        <v>7</v>
      </c>
      <c r="X69" s="22" t="s">
        <v>201</v>
      </c>
      <c r="Y69" s="22" t="s">
        <v>227</v>
      </c>
      <c r="Z69" s="22" t="s">
        <v>51</v>
      </c>
      <c r="AA69" s="22">
        <v>1.73746312684366</v>
      </c>
      <c r="AB69" s="22">
        <v>5.8997050147492999E-2</v>
      </c>
      <c r="AC69" s="22">
        <v>2.4218289085545699</v>
      </c>
      <c r="AD69" s="22">
        <v>0.31268436578171099</v>
      </c>
      <c r="AE69" s="22" t="s">
        <v>6</v>
      </c>
      <c r="AF69" s="22" t="s">
        <v>225</v>
      </c>
      <c r="AG69" s="22" t="s">
        <v>6</v>
      </c>
      <c r="AH69" s="30" t="s">
        <v>671</v>
      </c>
      <c r="AI69" s="22" t="s">
        <v>661</v>
      </c>
      <c r="AJ69" s="22" t="s">
        <v>6</v>
      </c>
    </row>
    <row r="70" spans="1:36" x14ac:dyDescent="0.25">
      <c r="A70" s="22" t="s">
        <v>758</v>
      </c>
      <c r="B70" s="22" t="s">
        <v>224</v>
      </c>
      <c r="C70" s="22">
        <v>2</v>
      </c>
      <c r="D70" s="22" t="s">
        <v>163</v>
      </c>
      <c r="E70" s="22" t="s">
        <v>6</v>
      </c>
      <c r="F70" s="22" t="s">
        <v>6</v>
      </c>
      <c r="G70" s="22" t="s">
        <v>6</v>
      </c>
      <c r="H70" s="22" t="s">
        <v>6</v>
      </c>
      <c r="I70" s="22" t="s">
        <v>230</v>
      </c>
      <c r="J70" s="22" t="s">
        <v>774</v>
      </c>
      <c r="K70" s="22">
        <v>2</v>
      </c>
      <c r="L70" s="22">
        <v>21</v>
      </c>
      <c r="M70" s="22">
        <v>21</v>
      </c>
      <c r="N70" s="22">
        <v>24</v>
      </c>
      <c r="O70" s="22">
        <v>60</v>
      </c>
      <c r="P70" s="23">
        <v>1</v>
      </c>
      <c r="Q70" s="22">
        <v>7</v>
      </c>
      <c r="R70" s="22">
        <v>7</v>
      </c>
      <c r="S70" s="22">
        <v>7</v>
      </c>
      <c r="T70" s="23">
        <v>1</v>
      </c>
      <c r="U70" s="22">
        <v>7</v>
      </c>
      <c r="V70" s="22">
        <v>7</v>
      </c>
      <c r="W70" s="22">
        <v>7</v>
      </c>
      <c r="X70" s="22" t="s">
        <v>201</v>
      </c>
      <c r="Y70" s="22" t="s">
        <v>228</v>
      </c>
      <c r="Z70" s="22" t="s">
        <v>51</v>
      </c>
      <c r="AA70" s="22">
        <v>38.4488188976378</v>
      </c>
      <c r="AB70" s="22">
        <v>1.00393700787401</v>
      </c>
      <c r="AC70" s="22">
        <v>42.208661417322801</v>
      </c>
      <c r="AD70" s="22">
        <v>0.86614173228346003</v>
      </c>
      <c r="AE70" s="22" t="s">
        <v>6</v>
      </c>
      <c r="AF70" s="22" t="s">
        <v>226</v>
      </c>
      <c r="AG70" s="22" t="s">
        <v>6</v>
      </c>
      <c r="AH70" s="30" t="s">
        <v>671</v>
      </c>
      <c r="AI70" s="22" t="s">
        <v>661</v>
      </c>
      <c r="AJ70" s="22" t="s">
        <v>6</v>
      </c>
    </row>
    <row r="71" spans="1:36" x14ac:dyDescent="0.25">
      <c r="A71" s="22" t="s">
        <v>758</v>
      </c>
      <c r="B71" s="22" t="s">
        <v>231</v>
      </c>
      <c r="C71" s="22">
        <v>2</v>
      </c>
      <c r="D71" s="22" t="s">
        <v>615</v>
      </c>
      <c r="E71" s="22" t="s">
        <v>233</v>
      </c>
      <c r="F71" s="22" t="s">
        <v>733</v>
      </c>
      <c r="G71" s="22" t="s">
        <v>6</v>
      </c>
      <c r="H71" s="22" t="s">
        <v>728</v>
      </c>
      <c r="I71" s="22" t="s">
        <v>149</v>
      </c>
      <c r="J71" s="22" t="s">
        <v>24</v>
      </c>
      <c r="K71" s="22" t="s">
        <v>6</v>
      </c>
      <c r="L71" s="22">
        <v>11</v>
      </c>
      <c r="M71" s="22">
        <v>11</v>
      </c>
      <c r="N71" s="22">
        <v>25</v>
      </c>
      <c r="O71" s="22">
        <v>61</v>
      </c>
      <c r="P71" s="23">
        <v>1</v>
      </c>
      <c r="Q71" s="22">
        <v>20</v>
      </c>
      <c r="R71" s="22">
        <v>20</v>
      </c>
      <c r="S71" s="22" t="s">
        <v>6</v>
      </c>
      <c r="T71" s="23">
        <v>1</v>
      </c>
      <c r="U71" s="22">
        <v>10</v>
      </c>
      <c r="V71" s="22">
        <v>10</v>
      </c>
      <c r="W71" s="22" t="s">
        <v>6</v>
      </c>
      <c r="X71" s="22" t="s">
        <v>205</v>
      </c>
      <c r="Y71" s="22" t="s">
        <v>27</v>
      </c>
      <c r="Z71" s="22" t="s">
        <v>6</v>
      </c>
      <c r="AA71" s="22">
        <f>3/20%</f>
        <v>15</v>
      </c>
      <c r="AB71" s="22" t="s">
        <v>6</v>
      </c>
      <c r="AC71" s="22">
        <f>3/10%</f>
        <v>30</v>
      </c>
      <c r="AD71" s="22" t="s">
        <v>6</v>
      </c>
      <c r="AE71" s="22" t="s">
        <v>234</v>
      </c>
      <c r="AF71" s="22" t="s">
        <v>240</v>
      </c>
      <c r="AG71" s="22" t="s">
        <v>6</v>
      </c>
      <c r="AH71" s="30" t="b">
        <v>0</v>
      </c>
      <c r="AI71" s="22" t="s">
        <v>6</v>
      </c>
      <c r="AJ71" s="22" t="s">
        <v>6</v>
      </c>
    </row>
    <row r="72" spans="1:36" x14ac:dyDescent="0.25">
      <c r="A72" s="22" t="s">
        <v>758</v>
      </c>
      <c r="B72" s="22" t="s">
        <v>231</v>
      </c>
      <c r="C72" s="22">
        <v>2</v>
      </c>
      <c r="D72" s="22" t="s">
        <v>615</v>
      </c>
      <c r="E72" s="22" t="s">
        <v>233</v>
      </c>
      <c r="F72" s="22" t="s">
        <v>733</v>
      </c>
      <c r="G72" s="22" t="s">
        <v>6</v>
      </c>
      <c r="H72" s="22" t="s">
        <v>728</v>
      </c>
      <c r="I72" s="22" t="s">
        <v>149</v>
      </c>
      <c r="J72" s="22" t="s">
        <v>24</v>
      </c>
      <c r="K72" s="22" t="s">
        <v>6</v>
      </c>
      <c r="L72" s="22">
        <v>11</v>
      </c>
      <c r="M72" s="22">
        <v>11</v>
      </c>
      <c r="N72" s="22">
        <v>25</v>
      </c>
      <c r="O72" s="22">
        <v>61</v>
      </c>
      <c r="P72" s="23">
        <v>2</v>
      </c>
      <c r="Q72" s="22">
        <v>20</v>
      </c>
      <c r="R72" s="22">
        <v>20</v>
      </c>
      <c r="S72" s="22" t="s">
        <v>6</v>
      </c>
      <c r="T72" s="23">
        <v>1</v>
      </c>
      <c r="U72" s="22">
        <v>10</v>
      </c>
      <c r="V72" s="22">
        <v>10</v>
      </c>
      <c r="W72" s="22" t="s">
        <v>6</v>
      </c>
      <c r="X72" s="22" t="s">
        <v>205</v>
      </c>
      <c r="Y72" s="22" t="s">
        <v>27</v>
      </c>
      <c r="Z72" s="22" t="s">
        <v>6</v>
      </c>
      <c r="AA72" s="22">
        <f>2/20%</f>
        <v>10</v>
      </c>
      <c r="AB72" s="22" t="s">
        <v>6</v>
      </c>
      <c r="AC72" s="22">
        <f>3/10%</f>
        <v>30</v>
      </c>
      <c r="AD72" s="22" t="s">
        <v>6</v>
      </c>
      <c r="AE72" s="22" t="s">
        <v>239</v>
      </c>
      <c r="AF72" s="22" t="s">
        <v>240</v>
      </c>
      <c r="AG72" s="22" t="s">
        <v>6</v>
      </c>
      <c r="AH72" s="30" t="b">
        <v>0</v>
      </c>
      <c r="AI72" s="22" t="s">
        <v>6</v>
      </c>
      <c r="AJ72" s="22" t="s">
        <v>6</v>
      </c>
    </row>
    <row r="73" spans="1:36" x14ac:dyDescent="0.25">
      <c r="A73" s="22" t="s">
        <v>758</v>
      </c>
      <c r="B73" s="22" t="s">
        <v>231</v>
      </c>
      <c r="C73" s="22">
        <v>2</v>
      </c>
      <c r="D73" s="22" t="s">
        <v>615</v>
      </c>
      <c r="E73" s="22" t="s">
        <v>233</v>
      </c>
      <c r="F73" s="22" t="s">
        <v>733</v>
      </c>
      <c r="G73" s="22" t="s">
        <v>6</v>
      </c>
      <c r="H73" s="22" t="s">
        <v>728</v>
      </c>
      <c r="I73" s="22" t="s">
        <v>149</v>
      </c>
      <c r="J73" s="22" t="s">
        <v>24</v>
      </c>
      <c r="K73" s="22" t="s">
        <v>6</v>
      </c>
      <c r="L73" s="22">
        <v>11</v>
      </c>
      <c r="M73" s="22">
        <v>11</v>
      </c>
      <c r="N73" s="22">
        <v>25</v>
      </c>
      <c r="O73" s="22">
        <v>61</v>
      </c>
      <c r="P73" s="23">
        <v>3</v>
      </c>
      <c r="Q73" s="22">
        <v>20</v>
      </c>
      <c r="R73" s="22">
        <v>20</v>
      </c>
      <c r="S73" s="22" t="s">
        <v>6</v>
      </c>
      <c r="T73" s="23">
        <v>1</v>
      </c>
      <c r="U73" s="22">
        <v>10</v>
      </c>
      <c r="V73" s="22">
        <v>10</v>
      </c>
      <c r="W73" s="22" t="s">
        <v>6</v>
      </c>
      <c r="X73" s="22" t="s">
        <v>205</v>
      </c>
      <c r="Y73" s="22" t="s">
        <v>27</v>
      </c>
      <c r="Z73" s="22" t="s">
        <v>6</v>
      </c>
      <c r="AA73" s="22">
        <f>1/20%</f>
        <v>5</v>
      </c>
      <c r="AB73" s="22" t="s">
        <v>6</v>
      </c>
      <c r="AC73" s="22">
        <f>3/10%</f>
        <v>30</v>
      </c>
      <c r="AD73" s="22" t="s">
        <v>6</v>
      </c>
      <c r="AE73" s="22" t="s">
        <v>235</v>
      </c>
      <c r="AF73" s="22" t="s">
        <v>240</v>
      </c>
      <c r="AG73" s="22" t="s">
        <v>6</v>
      </c>
      <c r="AH73" s="30" t="b">
        <v>0</v>
      </c>
      <c r="AI73" s="22" t="s">
        <v>6</v>
      </c>
      <c r="AJ73" s="22" t="s">
        <v>6</v>
      </c>
    </row>
    <row r="74" spans="1:36" ht="21" customHeight="1" x14ac:dyDescent="0.25">
      <c r="A74" s="22" t="s">
        <v>758</v>
      </c>
      <c r="B74" s="22" t="s">
        <v>231</v>
      </c>
      <c r="C74" s="22">
        <v>2</v>
      </c>
      <c r="D74" s="22" t="s">
        <v>615</v>
      </c>
      <c r="E74" s="22" t="s">
        <v>233</v>
      </c>
      <c r="F74" s="22" t="s">
        <v>733</v>
      </c>
      <c r="G74" s="22" t="s">
        <v>6</v>
      </c>
      <c r="H74" s="22" t="s">
        <v>728</v>
      </c>
      <c r="I74" s="22" t="s">
        <v>149</v>
      </c>
      <c r="J74" s="22" t="s">
        <v>777</v>
      </c>
      <c r="K74" s="22">
        <v>1</v>
      </c>
      <c r="L74" s="22">
        <v>11</v>
      </c>
      <c r="M74" s="22">
        <v>11</v>
      </c>
      <c r="N74" s="22">
        <v>25</v>
      </c>
      <c r="O74" s="22">
        <v>62</v>
      </c>
      <c r="P74" s="23">
        <v>1</v>
      </c>
      <c r="Q74" s="22">
        <v>17</v>
      </c>
      <c r="R74" s="22">
        <v>17</v>
      </c>
      <c r="S74" s="22" t="s">
        <v>6</v>
      </c>
      <c r="T74" s="23">
        <v>1</v>
      </c>
      <c r="U74" s="22">
        <v>7</v>
      </c>
      <c r="V74" s="22">
        <v>7</v>
      </c>
      <c r="W74" s="22" t="s">
        <v>6</v>
      </c>
      <c r="X74" s="22" t="s">
        <v>198</v>
      </c>
      <c r="Y74" s="22" t="s">
        <v>27</v>
      </c>
      <c r="Z74" s="22" t="s">
        <v>6</v>
      </c>
      <c r="AA74" s="22">
        <v>100</v>
      </c>
      <c r="AB74" s="22" t="s">
        <v>6</v>
      </c>
      <c r="AC74" s="22">
        <v>100</v>
      </c>
      <c r="AD74" s="22" t="s">
        <v>6</v>
      </c>
      <c r="AE74" s="22" t="s">
        <v>234</v>
      </c>
      <c r="AF74" s="22" t="s">
        <v>240</v>
      </c>
      <c r="AG74" s="22" t="s">
        <v>6</v>
      </c>
      <c r="AH74" s="37" t="s">
        <v>671</v>
      </c>
      <c r="AI74" s="22" t="s">
        <v>680</v>
      </c>
      <c r="AJ74" s="22" t="s">
        <v>662</v>
      </c>
    </row>
    <row r="75" spans="1:36" ht="21" x14ac:dyDescent="0.25">
      <c r="A75" s="22" t="s">
        <v>758</v>
      </c>
      <c r="B75" s="22" t="s">
        <v>231</v>
      </c>
      <c r="C75" s="22">
        <v>2</v>
      </c>
      <c r="D75" s="22" t="s">
        <v>615</v>
      </c>
      <c r="E75" s="22" t="s">
        <v>233</v>
      </c>
      <c r="F75" s="22" t="s">
        <v>733</v>
      </c>
      <c r="G75" s="22" t="s">
        <v>6</v>
      </c>
      <c r="H75" s="22" t="s">
        <v>728</v>
      </c>
      <c r="I75" s="22" t="s">
        <v>149</v>
      </c>
      <c r="J75" s="22" t="s">
        <v>777</v>
      </c>
      <c r="K75" s="22">
        <v>1</v>
      </c>
      <c r="L75" s="22">
        <v>11</v>
      </c>
      <c r="M75" s="22">
        <v>11</v>
      </c>
      <c r="N75" s="22">
        <v>25</v>
      </c>
      <c r="O75" s="22">
        <v>62</v>
      </c>
      <c r="P75" s="23">
        <v>2</v>
      </c>
      <c r="Q75" s="22">
        <v>18</v>
      </c>
      <c r="R75" s="22">
        <v>18</v>
      </c>
      <c r="S75" s="22" t="s">
        <v>6</v>
      </c>
      <c r="T75" s="23">
        <v>1</v>
      </c>
      <c r="U75" s="22">
        <v>7</v>
      </c>
      <c r="V75" s="22">
        <v>7</v>
      </c>
      <c r="W75" s="22" t="s">
        <v>6</v>
      </c>
      <c r="X75" s="22" t="s">
        <v>198</v>
      </c>
      <c r="Y75" s="22" t="s">
        <v>27</v>
      </c>
      <c r="Z75" s="22" t="s">
        <v>6</v>
      </c>
      <c r="AA75" s="22">
        <v>100</v>
      </c>
      <c r="AB75" s="22" t="s">
        <v>6</v>
      </c>
      <c r="AC75" s="22">
        <v>100</v>
      </c>
      <c r="AD75" s="22" t="s">
        <v>6</v>
      </c>
      <c r="AE75" s="22" t="s">
        <v>239</v>
      </c>
      <c r="AF75" s="22" t="s">
        <v>240</v>
      </c>
      <c r="AG75" s="22" t="s">
        <v>6</v>
      </c>
      <c r="AH75" s="37" t="s">
        <v>671</v>
      </c>
      <c r="AI75" s="22" t="s">
        <v>680</v>
      </c>
      <c r="AJ75" s="22" t="s">
        <v>662</v>
      </c>
    </row>
    <row r="76" spans="1:36" ht="21" x14ac:dyDescent="0.25">
      <c r="A76" s="22" t="s">
        <v>758</v>
      </c>
      <c r="B76" s="22" t="s">
        <v>231</v>
      </c>
      <c r="C76" s="22">
        <v>2</v>
      </c>
      <c r="D76" s="22" t="s">
        <v>615</v>
      </c>
      <c r="E76" s="22" t="s">
        <v>233</v>
      </c>
      <c r="F76" s="22" t="s">
        <v>733</v>
      </c>
      <c r="G76" s="22" t="s">
        <v>6</v>
      </c>
      <c r="H76" s="22" t="s">
        <v>728</v>
      </c>
      <c r="I76" s="22" t="s">
        <v>149</v>
      </c>
      <c r="J76" s="22" t="s">
        <v>777</v>
      </c>
      <c r="K76" s="22">
        <v>1</v>
      </c>
      <c r="L76" s="22">
        <v>11</v>
      </c>
      <c r="M76" s="22">
        <v>11</v>
      </c>
      <c r="N76" s="22">
        <v>25</v>
      </c>
      <c r="O76" s="22">
        <v>62</v>
      </c>
      <c r="P76" s="23">
        <v>3</v>
      </c>
      <c r="Q76" s="22">
        <v>19</v>
      </c>
      <c r="R76" s="22">
        <v>19</v>
      </c>
      <c r="S76" s="22" t="s">
        <v>6</v>
      </c>
      <c r="T76" s="23">
        <v>1</v>
      </c>
      <c r="U76" s="22">
        <v>7</v>
      </c>
      <c r="V76" s="22">
        <v>7</v>
      </c>
      <c r="W76" s="22" t="s">
        <v>6</v>
      </c>
      <c r="X76" s="22" t="s">
        <v>198</v>
      </c>
      <c r="Y76" s="22" t="s">
        <v>27</v>
      </c>
      <c r="Z76" s="22" t="s">
        <v>6</v>
      </c>
      <c r="AA76" s="22">
        <v>95</v>
      </c>
      <c r="AB76" s="22" t="s">
        <v>6</v>
      </c>
      <c r="AC76" s="22">
        <v>100</v>
      </c>
      <c r="AD76" s="22" t="s">
        <v>6</v>
      </c>
      <c r="AE76" s="22" t="s">
        <v>235</v>
      </c>
      <c r="AF76" s="22" t="s">
        <v>240</v>
      </c>
      <c r="AG76" s="22" t="s">
        <v>6</v>
      </c>
      <c r="AH76" s="37" t="s">
        <v>671</v>
      </c>
      <c r="AI76" s="22" t="s">
        <v>680</v>
      </c>
      <c r="AJ76" s="22" t="s">
        <v>662</v>
      </c>
    </row>
    <row r="77" spans="1:36" x14ac:dyDescent="0.25">
      <c r="A77" s="22" t="s">
        <v>758</v>
      </c>
      <c r="B77" s="22" t="s">
        <v>231</v>
      </c>
      <c r="C77" s="22">
        <v>2</v>
      </c>
      <c r="D77" s="22" t="s">
        <v>615</v>
      </c>
      <c r="E77" s="22" t="s">
        <v>233</v>
      </c>
      <c r="F77" s="22" t="s">
        <v>733</v>
      </c>
      <c r="G77" s="22" t="s">
        <v>6</v>
      </c>
      <c r="H77" s="22" t="s">
        <v>728</v>
      </c>
      <c r="I77" s="22" t="s">
        <v>149</v>
      </c>
      <c r="J77" s="22" t="s">
        <v>773</v>
      </c>
      <c r="K77" s="22">
        <v>1</v>
      </c>
      <c r="L77" s="22">
        <v>11</v>
      </c>
      <c r="M77" s="22">
        <v>11</v>
      </c>
      <c r="N77" s="22">
        <v>25</v>
      </c>
      <c r="O77" s="22">
        <v>63</v>
      </c>
      <c r="P77" s="23">
        <v>1</v>
      </c>
      <c r="Q77" s="22">
        <v>17</v>
      </c>
      <c r="R77" s="22">
        <v>17</v>
      </c>
      <c r="S77" s="22">
        <v>17</v>
      </c>
      <c r="T77" s="23">
        <v>1</v>
      </c>
      <c r="U77" s="22">
        <v>7</v>
      </c>
      <c r="V77" s="22">
        <v>7</v>
      </c>
      <c r="W77" s="22">
        <v>7</v>
      </c>
      <c r="X77" s="22" t="s">
        <v>242</v>
      </c>
      <c r="Y77" s="22" t="s">
        <v>243</v>
      </c>
      <c r="Z77" s="22" t="s">
        <v>51</v>
      </c>
      <c r="AA77" s="22">
        <v>18142.857142857101</v>
      </c>
      <c r="AB77" s="36">
        <f xml:space="preserve"> (18839-17322)/(2*1.96)</f>
        <v>386.98979591836735</v>
      </c>
      <c r="AC77" s="22">
        <v>23571.428571428602</v>
      </c>
      <c r="AD77" s="22">
        <f>(23957-22630)/2/1.96</f>
        <v>338.5204081632653</v>
      </c>
      <c r="AE77" s="22" t="s">
        <v>234</v>
      </c>
      <c r="AF77" s="45" t="s">
        <v>712</v>
      </c>
      <c r="AG77" s="22" t="s">
        <v>6</v>
      </c>
      <c r="AH77" s="30" t="b">
        <v>1</v>
      </c>
      <c r="AI77" s="22" t="s">
        <v>663</v>
      </c>
      <c r="AJ77" s="22" t="s">
        <v>6</v>
      </c>
    </row>
    <row r="78" spans="1:36" x14ac:dyDescent="0.25">
      <c r="A78" s="22" t="s">
        <v>758</v>
      </c>
      <c r="B78" s="22" t="s">
        <v>231</v>
      </c>
      <c r="C78" s="22">
        <v>2</v>
      </c>
      <c r="D78" s="22" t="s">
        <v>615</v>
      </c>
      <c r="E78" s="22" t="s">
        <v>233</v>
      </c>
      <c r="F78" s="22" t="s">
        <v>733</v>
      </c>
      <c r="G78" s="22" t="s">
        <v>6</v>
      </c>
      <c r="H78" s="22" t="s">
        <v>728</v>
      </c>
      <c r="I78" s="22" t="s">
        <v>149</v>
      </c>
      <c r="J78" s="22" t="s">
        <v>773</v>
      </c>
      <c r="K78" s="22">
        <v>1</v>
      </c>
      <c r="L78" s="22">
        <v>11</v>
      </c>
      <c r="M78" s="22">
        <v>11</v>
      </c>
      <c r="N78" s="22">
        <v>25</v>
      </c>
      <c r="O78" s="22">
        <v>63</v>
      </c>
      <c r="P78" s="23">
        <v>2</v>
      </c>
      <c r="Q78" s="22">
        <v>18</v>
      </c>
      <c r="R78" s="22">
        <v>18</v>
      </c>
      <c r="S78" s="22">
        <v>18</v>
      </c>
      <c r="T78" s="23">
        <v>1</v>
      </c>
      <c r="U78" s="22">
        <v>7</v>
      </c>
      <c r="V78" s="22">
        <v>7</v>
      </c>
      <c r="W78" s="22">
        <v>7</v>
      </c>
      <c r="X78" s="22" t="s">
        <v>242</v>
      </c>
      <c r="Y78" s="22" t="s">
        <v>243</v>
      </c>
      <c r="Z78" s="22" t="s">
        <v>51</v>
      </c>
      <c r="AA78" s="22">
        <v>18761.904398600302</v>
      </c>
      <c r="AB78" s="36">
        <f xml:space="preserve"> (19597-17464)/2/1.96</f>
        <v>544.13265306122446</v>
      </c>
      <c r="AC78" s="22">
        <v>23571.428571428602</v>
      </c>
      <c r="AD78" s="22">
        <f>(23957-22630)/2/1.96</f>
        <v>338.5204081632653</v>
      </c>
      <c r="AE78" s="22" t="s">
        <v>239</v>
      </c>
      <c r="AF78" s="45" t="s">
        <v>712</v>
      </c>
      <c r="AG78" s="22" t="s">
        <v>6</v>
      </c>
      <c r="AH78" s="30" t="b">
        <v>1</v>
      </c>
      <c r="AI78" s="22" t="s">
        <v>663</v>
      </c>
      <c r="AJ78" s="22" t="s">
        <v>6</v>
      </c>
    </row>
    <row r="79" spans="1:36" x14ac:dyDescent="0.25">
      <c r="A79" s="22" t="s">
        <v>758</v>
      </c>
      <c r="B79" s="22" t="s">
        <v>231</v>
      </c>
      <c r="C79" s="22">
        <v>2</v>
      </c>
      <c r="D79" s="22" t="s">
        <v>615</v>
      </c>
      <c r="E79" s="22" t="s">
        <v>233</v>
      </c>
      <c r="F79" s="22" t="s">
        <v>733</v>
      </c>
      <c r="G79" s="22" t="s">
        <v>6</v>
      </c>
      <c r="H79" s="22" t="s">
        <v>728</v>
      </c>
      <c r="I79" s="22" t="s">
        <v>149</v>
      </c>
      <c r="J79" s="22" t="s">
        <v>773</v>
      </c>
      <c r="K79" s="22">
        <v>1</v>
      </c>
      <c r="L79" s="22">
        <v>11</v>
      </c>
      <c r="M79" s="22">
        <v>11</v>
      </c>
      <c r="N79" s="22">
        <v>25</v>
      </c>
      <c r="O79" s="22">
        <v>63</v>
      </c>
      <c r="P79" s="23">
        <v>3</v>
      </c>
      <c r="Q79" s="22">
        <v>19</v>
      </c>
      <c r="R79" s="22">
        <v>19</v>
      </c>
      <c r="S79" s="22">
        <v>19</v>
      </c>
      <c r="T79" s="23">
        <v>1</v>
      </c>
      <c r="U79" s="22">
        <v>7</v>
      </c>
      <c r="V79" s="22">
        <v>7</v>
      </c>
      <c r="W79" s="22">
        <v>7</v>
      </c>
      <c r="X79" s="22" t="s">
        <v>242</v>
      </c>
      <c r="Y79" s="22" t="s">
        <v>243</v>
      </c>
      <c r="Z79" s="22" t="s">
        <v>51</v>
      </c>
      <c r="AA79" s="22">
        <v>14999.9996366955</v>
      </c>
      <c r="AB79" s="38">
        <f>(15427-14526)/2/1.96</f>
        <v>229.84693877551021</v>
      </c>
      <c r="AC79" s="22">
        <v>23571.428571428602</v>
      </c>
      <c r="AD79" s="22">
        <f>(23957-22630)/2/1.96</f>
        <v>338.5204081632653</v>
      </c>
      <c r="AE79" s="22" t="s">
        <v>235</v>
      </c>
      <c r="AF79" s="45" t="s">
        <v>712</v>
      </c>
      <c r="AG79" s="22" t="s">
        <v>6</v>
      </c>
      <c r="AH79" s="30" t="b">
        <v>1</v>
      </c>
      <c r="AI79" s="22" t="s">
        <v>663</v>
      </c>
      <c r="AJ79" s="22" t="s">
        <v>6</v>
      </c>
    </row>
    <row r="80" spans="1:36" ht="21" customHeight="1" x14ac:dyDescent="0.25">
      <c r="A80" s="22" t="s">
        <v>758</v>
      </c>
      <c r="B80" s="22" t="s">
        <v>231</v>
      </c>
      <c r="C80" s="22">
        <v>3</v>
      </c>
      <c r="D80" s="22" t="s">
        <v>615</v>
      </c>
      <c r="E80" s="22" t="s">
        <v>233</v>
      </c>
      <c r="F80" s="22" t="s">
        <v>733</v>
      </c>
      <c r="G80" s="22" t="s">
        <v>6</v>
      </c>
      <c r="H80" s="22" t="s">
        <v>728</v>
      </c>
      <c r="I80" s="22" t="s">
        <v>149</v>
      </c>
      <c r="J80" s="22" t="s">
        <v>24</v>
      </c>
      <c r="K80" s="22" t="s">
        <v>6</v>
      </c>
      <c r="L80" s="22">
        <v>11</v>
      </c>
      <c r="M80" s="22">
        <v>11</v>
      </c>
      <c r="N80" s="22">
        <v>26</v>
      </c>
      <c r="O80" s="22">
        <v>64</v>
      </c>
      <c r="P80" s="23">
        <v>1</v>
      </c>
      <c r="Q80" s="22">
        <v>20</v>
      </c>
      <c r="R80" s="22">
        <v>20</v>
      </c>
      <c r="S80" s="22" t="s">
        <v>6</v>
      </c>
      <c r="T80" s="23">
        <v>1</v>
      </c>
      <c r="U80" s="22">
        <v>20</v>
      </c>
      <c r="V80" s="22">
        <v>20</v>
      </c>
      <c r="W80" s="22" t="s">
        <v>6</v>
      </c>
      <c r="X80" s="22" t="s">
        <v>205</v>
      </c>
      <c r="Y80" s="22" t="s">
        <v>27</v>
      </c>
      <c r="Z80" s="22" t="s">
        <v>6</v>
      </c>
      <c r="AA80" s="22">
        <f>2/20%</f>
        <v>10</v>
      </c>
      <c r="AB80" s="22" t="s">
        <v>6</v>
      </c>
      <c r="AC80" s="22">
        <f>1/20%</f>
        <v>5</v>
      </c>
      <c r="AD80" s="22" t="s">
        <v>6</v>
      </c>
      <c r="AE80" s="22" t="s">
        <v>234</v>
      </c>
      <c r="AF80" s="22" t="s">
        <v>240</v>
      </c>
      <c r="AG80" s="22" t="s">
        <v>6</v>
      </c>
      <c r="AH80" s="30" t="b">
        <v>0</v>
      </c>
      <c r="AI80" s="22" t="s">
        <v>6</v>
      </c>
      <c r="AJ80" s="22" t="s">
        <v>6</v>
      </c>
    </row>
    <row r="81" spans="1:36" x14ac:dyDescent="0.25">
      <c r="A81" s="22" t="s">
        <v>758</v>
      </c>
      <c r="B81" s="22" t="s">
        <v>231</v>
      </c>
      <c r="C81" s="22">
        <v>3</v>
      </c>
      <c r="D81" s="22" t="s">
        <v>615</v>
      </c>
      <c r="E81" s="22" t="s">
        <v>233</v>
      </c>
      <c r="F81" s="22" t="s">
        <v>733</v>
      </c>
      <c r="G81" s="22" t="s">
        <v>6</v>
      </c>
      <c r="H81" s="22" t="s">
        <v>728</v>
      </c>
      <c r="I81" s="22" t="s">
        <v>149</v>
      </c>
      <c r="J81" s="22" t="s">
        <v>24</v>
      </c>
      <c r="K81" s="22" t="s">
        <v>6</v>
      </c>
      <c r="L81" s="22">
        <v>11</v>
      </c>
      <c r="M81" s="22">
        <v>11</v>
      </c>
      <c r="N81" s="22">
        <v>26</v>
      </c>
      <c r="O81" s="22">
        <v>64</v>
      </c>
      <c r="P81" s="23">
        <v>2</v>
      </c>
      <c r="Q81" s="22">
        <v>20</v>
      </c>
      <c r="R81" s="22">
        <v>20</v>
      </c>
      <c r="S81" s="22" t="s">
        <v>6</v>
      </c>
      <c r="T81" s="23">
        <v>1</v>
      </c>
      <c r="U81" s="22">
        <v>20</v>
      </c>
      <c r="V81" s="22">
        <v>20</v>
      </c>
      <c r="W81" s="22" t="s">
        <v>6</v>
      </c>
      <c r="X81" s="22" t="s">
        <v>205</v>
      </c>
      <c r="Y81" s="22" t="s">
        <v>27</v>
      </c>
      <c r="Z81" s="22" t="s">
        <v>6</v>
      </c>
      <c r="AA81" s="22">
        <v>0</v>
      </c>
      <c r="AB81" s="22" t="s">
        <v>6</v>
      </c>
      <c r="AC81" s="22">
        <f>1/20%</f>
        <v>5</v>
      </c>
      <c r="AD81" s="22" t="s">
        <v>6</v>
      </c>
      <c r="AE81" s="22" t="s">
        <v>239</v>
      </c>
      <c r="AF81" s="22" t="s">
        <v>240</v>
      </c>
      <c r="AG81" s="22" t="s">
        <v>6</v>
      </c>
      <c r="AH81" s="30" t="b">
        <v>0</v>
      </c>
      <c r="AI81" s="22" t="s">
        <v>6</v>
      </c>
      <c r="AJ81" s="22" t="s">
        <v>6</v>
      </c>
    </row>
    <row r="82" spans="1:36" x14ac:dyDescent="0.25">
      <c r="A82" s="22" t="s">
        <v>758</v>
      </c>
      <c r="B82" s="22" t="s">
        <v>231</v>
      </c>
      <c r="C82" s="22">
        <v>3</v>
      </c>
      <c r="D82" s="22" t="s">
        <v>615</v>
      </c>
      <c r="E82" s="22" t="s">
        <v>233</v>
      </c>
      <c r="F82" s="22" t="s">
        <v>733</v>
      </c>
      <c r="G82" s="22" t="s">
        <v>6</v>
      </c>
      <c r="H82" s="22" t="s">
        <v>728</v>
      </c>
      <c r="I82" s="22" t="s">
        <v>149</v>
      </c>
      <c r="J82" s="22" t="s">
        <v>24</v>
      </c>
      <c r="K82" s="22" t="s">
        <v>6</v>
      </c>
      <c r="L82" s="22">
        <v>11</v>
      </c>
      <c r="M82" s="22">
        <v>11</v>
      </c>
      <c r="N82" s="22">
        <v>26</v>
      </c>
      <c r="O82" s="22">
        <v>64</v>
      </c>
      <c r="P82" s="23">
        <v>3</v>
      </c>
      <c r="Q82" s="22">
        <v>20</v>
      </c>
      <c r="R82" s="22">
        <v>20</v>
      </c>
      <c r="S82" s="22" t="s">
        <v>6</v>
      </c>
      <c r="T82" s="23">
        <v>1</v>
      </c>
      <c r="U82" s="22">
        <v>20</v>
      </c>
      <c r="V82" s="22">
        <v>20</v>
      </c>
      <c r="W82" s="22" t="s">
        <v>6</v>
      </c>
      <c r="X82" s="22" t="s">
        <v>205</v>
      </c>
      <c r="Y82" s="22" t="s">
        <v>27</v>
      </c>
      <c r="Z82" s="22" t="s">
        <v>6</v>
      </c>
      <c r="AA82" s="22">
        <v>0</v>
      </c>
      <c r="AB82" s="22" t="s">
        <v>6</v>
      </c>
      <c r="AC82" s="22">
        <f>1/20%</f>
        <v>5</v>
      </c>
      <c r="AD82" s="22" t="s">
        <v>6</v>
      </c>
      <c r="AE82" s="22" t="s">
        <v>235</v>
      </c>
      <c r="AF82" s="22" t="s">
        <v>240</v>
      </c>
      <c r="AG82" s="22" t="s">
        <v>6</v>
      </c>
      <c r="AH82" s="30" t="b">
        <v>0</v>
      </c>
      <c r="AI82" s="22" t="s">
        <v>6</v>
      </c>
      <c r="AJ82" s="22" t="s">
        <v>6</v>
      </c>
    </row>
    <row r="83" spans="1:36" ht="21" x14ac:dyDescent="0.25">
      <c r="A83" s="22" t="s">
        <v>758</v>
      </c>
      <c r="B83" s="22" t="s">
        <v>231</v>
      </c>
      <c r="C83" s="22">
        <v>3</v>
      </c>
      <c r="D83" s="22" t="s">
        <v>615</v>
      </c>
      <c r="E83" s="22" t="s">
        <v>233</v>
      </c>
      <c r="F83" s="22" t="s">
        <v>733</v>
      </c>
      <c r="G83" s="22" t="s">
        <v>6</v>
      </c>
      <c r="H83" s="22" t="s">
        <v>728</v>
      </c>
      <c r="I83" s="22" t="s">
        <v>149</v>
      </c>
      <c r="J83" s="22" t="s">
        <v>777</v>
      </c>
      <c r="K83" s="22">
        <v>1</v>
      </c>
      <c r="L83" s="22">
        <f>6*7</f>
        <v>42</v>
      </c>
      <c r="M83" s="22">
        <v>42</v>
      </c>
      <c r="N83" s="22">
        <v>26</v>
      </c>
      <c r="O83" s="22">
        <v>65</v>
      </c>
      <c r="P83" s="23">
        <v>1</v>
      </c>
      <c r="Q83" s="22">
        <v>18</v>
      </c>
      <c r="R83" s="22">
        <v>18</v>
      </c>
      <c r="S83" s="22" t="s">
        <v>6</v>
      </c>
      <c r="T83" s="23">
        <v>1</v>
      </c>
      <c r="U83" s="22">
        <v>19</v>
      </c>
      <c r="V83" s="22">
        <v>19</v>
      </c>
      <c r="W83" s="22" t="s">
        <v>6</v>
      </c>
      <c r="X83" s="22" t="s">
        <v>198</v>
      </c>
      <c r="Y83" s="22" t="s">
        <v>27</v>
      </c>
      <c r="Z83" s="22" t="s">
        <v>6</v>
      </c>
      <c r="AA83" s="22">
        <v>77</v>
      </c>
      <c r="AB83" s="22" t="s">
        <v>6</v>
      </c>
      <c r="AC83" s="22">
        <v>95</v>
      </c>
      <c r="AD83" s="22" t="s">
        <v>6</v>
      </c>
      <c r="AE83" s="22" t="s">
        <v>234</v>
      </c>
      <c r="AF83" s="22" t="s">
        <v>240</v>
      </c>
      <c r="AG83" s="22" t="s">
        <v>6</v>
      </c>
      <c r="AH83" s="37" t="s">
        <v>671</v>
      </c>
      <c r="AI83" s="22" t="s">
        <v>681</v>
      </c>
      <c r="AJ83" s="22" t="s">
        <v>241</v>
      </c>
    </row>
    <row r="84" spans="1:36" ht="21" x14ac:dyDescent="0.25">
      <c r="A84" s="22" t="s">
        <v>758</v>
      </c>
      <c r="B84" s="22" t="s">
        <v>231</v>
      </c>
      <c r="C84" s="22">
        <v>3</v>
      </c>
      <c r="D84" s="22" t="s">
        <v>615</v>
      </c>
      <c r="E84" s="22" t="s">
        <v>233</v>
      </c>
      <c r="F84" s="22" t="s">
        <v>733</v>
      </c>
      <c r="G84" s="22" t="s">
        <v>6</v>
      </c>
      <c r="H84" s="22" t="s">
        <v>728</v>
      </c>
      <c r="I84" s="22" t="s">
        <v>149</v>
      </c>
      <c r="J84" s="22" t="s">
        <v>777</v>
      </c>
      <c r="K84" s="22">
        <v>1</v>
      </c>
      <c r="L84" s="22">
        <v>42</v>
      </c>
      <c r="M84" s="22">
        <v>42</v>
      </c>
      <c r="N84" s="22">
        <v>26</v>
      </c>
      <c r="O84" s="22">
        <v>65</v>
      </c>
      <c r="P84" s="23">
        <v>2</v>
      </c>
      <c r="Q84" s="22">
        <v>20</v>
      </c>
      <c r="R84" s="22">
        <v>20</v>
      </c>
      <c r="S84" s="22" t="s">
        <v>6</v>
      </c>
      <c r="T84" s="23">
        <v>1</v>
      </c>
      <c r="U84" s="22">
        <v>19</v>
      </c>
      <c r="V84" s="22">
        <v>19</v>
      </c>
      <c r="W84" s="22" t="s">
        <v>6</v>
      </c>
      <c r="X84" s="22" t="s">
        <v>198</v>
      </c>
      <c r="Y84" s="22" t="s">
        <v>27</v>
      </c>
      <c r="Z84" s="22" t="s">
        <v>6</v>
      </c>
      <c r="AA84" s="22">
        <v>85</v>
      </c>
      <c r="AB84" s="22" t="s">
        <v>6</v>
      </c>
      <c r="AC84" s="22">
        <v>95</v>
      </c>
      <c r="AD84" s="22" t="s">
        <v>6</v>
      </c>
      <c r="AE84" s="22" t="s">
        <v>239</v>
      </c>
      <c r="AF84" s="22" t="s">
        <v>240</v>
      </c>
      <c r="AG84" s="22" t="s">
        <v>6</v>
      </c>
      <c r="AH84" s="37" t="s">
        <v>671</v>
      </c>
      <c r="AI84" s="22" t="s">
        <v>681</v>
      </c>
      <c r="AJ84" s="22" t="s">
        <v>241</v>
      </c>
    </row>
    <row r="85" spans="1:36" ht="21" x14ac:dyDescent="0.25">
      <c r="A85" s="22" t="s">
        <v>758</v>
      </c>
      <c r="B85" s="22" t="s">
        <v>231</v>
      </c>
      <c r="C85" s="22">
        <v>3</v>
      </c>
      <c r="D85" s="22" t="s">
        <v>615</v>
      </c>
      <c r="E85" s="22" t="s">
        <v>233</v>
      </c>
      <c r="F85" s="22" t="s">
        <v>733</v>
      </c>
      <c r="G85" s="22" t="s">
        <v>6</v>
      </c>
      <c r="H85" s="22" t="s">
        <v>728</v>
      </c>
      <c r="I85" s="22" t="s">
        <v>149</v>
      </c>
      <c r="J85" s="22" t="s">
        <v>777</v>
      </c>
      <c r="K85" s="22">
        <v>1</v>
      </c>
      <c r="L85" s="22">
        <v>42</v>
      </c>
      <c r="M85" s="22">
        <v>42</v>
      </c>
      <c r="N85" s="22">
        <v>26</v>
      </c>
      <c r="O85" s="22">
        <v>65</v>
      </c>
      <c r="P85" s="23">
        <v>3</v>
      </c>
      <c r="Q85" s="22">
        <v>20</v>
      </c>
      <c r="R85" s="22">
        <v>20</v>
      </c>
      <c r="S85" s="22" t="s">
        <v>6</v>
      </c>
      <c r="T85" s="23">
        <v>1</v>
      </c>
      <c r="U85" s="22">
        <v>19</v>
      </c>
      <c r="V85" s="22">
        <v>19</v>
      </c>
      <c r="W85" s="22" t="s">
        <v>6</v>
      </c>
      <c r="X85" s="22" t="s">
        <v>198</v>
      </c>
      <c r="Y85" s="22" t="s">
        <v>27</v>
      </c>
      <c r="Z85" s="22" t="s">
        <v>6</v>
      </c>
      <c r="AA85" s="22">
        <v>70</v>
      </c>
      <c r="AB85" s="22" t="s">
        <v>6</v>
      </c>
      <c r="AC85" s="22">
        <v>95</v>
      </c>
      <c r="AD85" s="22" t="s">
        <v>6</v>
      </c>
      <c r="AE85" s="22" t="s">
        <v>235</v>
      </c>
      <c r="AF85" s="22" t="s">
        <v>240</v>
      </c>
      <c r="AG85" s="22" t="s">
        <v>6</v>
      </c>
      <c r="AH85" s="37" t="s">
        <v>671</v>
      </c>
      <c r="AI85" s="22" t="s">
        <v>681</v>
      </c>
      <c r="AJ85" s="22" t="s">
        <v>241</v>
      </c>
    </row>
    <row r="86" spans="1:36" x14ac:dyDescent="0.25">
      <c r="A86" s="22" t="s">
        <v>758</v>
      </c>
      <c r="B86" s="22" t="s">
        <v>231</v>
      </c>
      <c r="C86" s="22">
        <v>3</v>
      </c>
      <c r="D86" s="22" t="s">
        <v>615</v>
      </c>
      <c r="E86" s="22" t="s">
        <v>233</v>
      </c>
      <c r="F86" s="22" t="s">
        <v>733</v>
      </c>
      <c r="G86" s="22" t="s">
        <v>6</v>
      </c>
      <c r="H86" s="22" t="s">
        <v>728</v>
      </c>
      <c r="I86" s="22" t="s">
        <v>149</v>
      </c>
      <c r="J86" s="22" t="s">
        <v>773</v>
      </c>
      <c r="K86" s="22">
        <v>1</v>
      </c>
      <c r="L86" s="22">
        <v>42</v>
      </c>
      <c r="M86" s="22">
        <v>42</v>
      </c>
      <c r="N86" s="22">
        <v>26</v>
      </c>
      <c r="O86" s="22">
        <v>66</v>
      </c>
      <c r="P86" s="23">
        <v>1</v>
      </c>
      <c r="Q86" s="22">
        <v>18</v>
      </c>
      <c r="R86" s="22">
        <v>18</v>
      </c>
      <c r="S86" s="22">
        <v>18</v>
      </c>
      <c r="T86" s="23">
        <v>1</v>
      </c>
      <c r="U86" s="22">
        <v>19</v>
      </c>
      <c r="V86" s="22">
        <v>19</v>
      </c>
      <c r="W86" s="22">
        <v>19</v>
      </c>
      <c r="X86" s="22" t="s">
        <v>242</v>
      </c>
      <c r="Y86" s="22" t="s">
        <v>245</v>
      </c>
      <c r="Z86" s="22" t="s">
        <v>51</v>
      </c>
      <c r="AA86" s="22">
        <v>3.9419953419271598</v>
      </c>
      <c r="AB86" s="22">
        <v>0.12921113689095101</v>
      </c>
      <c r="AC86" s="22">
        <v>4.3549883813703101</v>
      </c>
      <c r="AD86" s="22">
        <v>0.204176334106729</v>
      </c>
      <c r="AE86" s="22" t="s">
        <v>234</v>
      </c>
      <c r="AF86" s="22" t="s">
        <v>244</v>
      </c>
      <c r="AG86" s="22" t="s">
        <v>6</v>
      </c>
      <c r="AH86" s="30" t="b">
        <v>1</v>
      </c>
      <c r="AI86" s="22" t="s">
        <v>663</v>
      </c>
      <c r="AJ86" s="22" t="s">
        <v>6</v>
      </c>
    </row>
    <row r="87" spans="1:36" x14ac:dyDescent="0.25">
      <c r="A87" s="22" t="s">
        <v>758</v>
      </c>
      <c r="B87" s="22" t="s">
        <v>231</v>
      </c>
      <c r="C87" s="22">
        <v>3</v>
      </c>
      <c r="D87" s="22" t="s">
        <v>615</v>
      </c>
      <c r="E87" s="22" t="s">
        <v>233</v>
      </c>
      <c r="F87" s="22" t="s">
        <v>733</v>
      </c>
      <c r="G87" s="22" t="s">
        <v>6</v>
      </c>
      <c r="H87" s="22" t="s">
        <v>728</v>
      </c>
      <c r="I87" s="22" t="s">
        <v>149</v>
      </c>
      <c r="J87" s="22" t="s">
        <v>773</v>
      </c>
      <c r="K87" s="22">
        <v>1</v>
      </c>
      <c r="L87" s="22">
        <v>42</v>
      </c>
      <c r="M87" s="22">
        <v>42</v>
      </c>
      <c r="N87" s="22">
        <v>26</v>
      </c>
      <c r="O87" s="22">
        <v>66</v>
      </c>
      <c r="P87" s="23">
        <v>2</v>
      </c>
      <c r="Q87" s="22">
        <v>20</v>
      </c>
      <c r="R87" s="22">
        <v>20</v>
      </c>
      <c r="S87" s="22">
        <v>20</v>
      </c>
      <c r="T87" s="23">
        <v>1</v>
      </c>
      <c r="U87" s="22">
        <v>19</v>
      </c>
      <c r="V87" s="22">
        <v>19</v>
      </c>
      <c r="W87" s="22">
        <v>19</v>
      </c>
      <c r="X87" s="22" t="s">
        <v>242</v>
      </c>
      <c r="Y87" s="22" t="s">
        <v>245</v>
      </c>
      <c r="Z87" s="22" t="s">
        <v>51</v>
      </c>
      <c r="AA87" s="22">
        <v>3.30626448345848</v>
      </c>
      <c r="AB87" s="22">
        <v>0.130649651972158</v>
      </c>
      <c r="AC87" s="22">
        <v>4.3549883813703101</v>
      </c>
      <c r="AD87" s="22">
        <v>0.204176334106729</v>
      </c>
      <c r="AE87" s="22" t="s">
        <v>239</v>
      </c>
      <c r="AF87" s="22" t="s">
        <v>244</v>
      </c>
      <c r="AG87" s="22" t="s">
        <v>6</v>
      </c>
      <c r="AH87" s="30" t="b">
        <v>1</v>
      </c>
      <c r="AI87" s="22" t="s">
        <v>663</v>
      </c>
      <c r="AJ87" s="22" t="s">
        <v>6</v>
      </c>
    </row>
    <row r="88" spans="1:36" x14ac:dyDescent="0.25">
      <c r="A88" s="22" t="s">
        <v>758</v>
      </c>
      <c r="B88" s="22" t="s">
        <v>231</v>
      </c>
      <c r="C88" s="22">
        <v>3</v>
      </c>
      <c r="D88" s="22" t="s">
        <v>615</v>
      </c>
      <c r="E88" s="22" t="s">
        <v>233</v>
      </c>
      <c r="F88" s="22" t="s">
        <v>733</v>
      </c>
      <c r="G88" s="22" t="s">
        <v>6</v>
      </c>
      <c r="H88" s="22" t="s">
        <v>728</v>
      </c>
      <c r="I88" s="22" t="s">
        <v>149</v>
      </c>
      <c r="J88" s="22" t="s">
        <v>773</v>
      </c>
      <c r="K88" s="22">
        <v>1</v>
      </c>
      <c r="L88" s="22">
        <v>42</v>
      </c>
      <c r="M88" s="22">
        <v>42</v>
      </c>
      <c r="N88" s="22">
        <v>26</v>
      </c>
      <c r="O88" s="22">
        <v>66</v>
      </c>
      <c r="P88" s="23">
        <v>3</v>
      </c>
      <c r="Q88" s="22">
        <v>20</v>
      </c>
      <c r="R88" s="22">
        <v>20</v>
      </c>
      <c r="S88" s="22">
        <v>20</v>
      </c>
      <c r="T88" s="23">
        <v>1</v>
      </c>
      <c r="U88" s="22">
        <v>19</v>
      </c>
      <c r="V88" s="22">
        <v>19</v>
      </c>
      <c r="W88" s="22">
        <v>19</v>
      </c>
      <c r="X88" s="22" t="s">
        <v>242</v>
      </c>
      <c r="Y88" s="22" t="s">
        <v>245</v>
      </c>
      <c r="Z88" s="22" t="s">
        <v>51</v>
      </c>
      <c r="AA88" s="22">
        <v>3.8120649474956001</v>
      </c>
      <c r="AB88" s="22">
        <v>0.128491879350348</v>
      </c>
      <c r="AC88" s="22">
        <v>4.3549883813703101</v>
      </c>
      <c r="AD88" s="22">
        <v>0.204176334106729</v>
      </c>
      <c r="AE88" s="22" t="s">
        <v>235</v>
      </c>
      <c r="AF88" s="22" t="s">
        <v>244</v>
      </c>
      <c r="AG88" s="22" t="s">
        <v>6</v>
      </c>
      <c r="AH88" s="30" t="b">
        <v>1</v>
      </c>
      <c r="AI88" s="22" t="s">
        <v>663</v>
      </c>
      <c r="AJ88" s="22" t="s">
        <v>6</v>
      </c>
    </row>
    <row r="89" spans="1:36" x14ac:dyDescent="0.25">
      <c r="A89" s="22" t="s">
        <v>758</v>
      </c>
      <c r="B89" s="22" t="s">
        <v>231</v>
      </c>
      <c r="C89" s="22">
        <v>3</v>
      </c>
      <c r="D89" s="22" t="s">
        <v>614</v>
      </c>
      <c r="E89" s="22" t="s">
        <v>233</v>
      </c>
      <c r="F89" s="22" t="s">
        <v>733</v>
      </c>
      <c r="G89" s="22" t="s">
        <v>6</v>
      </c>
      <c r="H89" s="22" t="s">
        <v>6</v>
      </c>
      <c r="I89" s="22" t="s">
        <v>6</v>
      </c>
      <c r="J89" s="22" t="s">
        <v>24</v>
      </c>
      <c r="K89" s="22" t="s">
        <v>6</v>
      </c>
      <c r="L89" s="22">
        <v>11</v>
      </c>
      <c r="M89" s="22">
        <v>11</v>
      </c>
      <c r="N89" s="22">
        <v>27</v>
      </c>
      <c r="O89" s="22">
        <v>67</v>
      </c>
      <c r="P89" s="23">
        <v>4</v>
      </c>
      <c r="Q89" s="22">
        <v>20</v>
      </c>
      <c r="R89" s="22">
        <v>20</v>
      </c>
      <c r="S89" s="22" t="s">
        <v>6</v>
      </c>
      <c r="T89" s="23">
        <v>2</v>
      </c>
      <c r="U89" s="22">
        <v>20</v>
      </c>
      <c r="V89" s="22">
        <v>20</v>
      </c>
      <c r="W89" s="22" t="s">
        <v>6</v>
      </c>
      <c r="X89" s="22" t="s">
        <v>205</v>
      </c>
      <c r="Y89" s="22" t="s">
        <v>27</v>
      </c>
      <c r="Z89" s="22" t="s">
        <v>6</v>
      </c>
      <c r="AA89" s="22">
        <f>2/20%</f>
        <v>10</v>
      </c>
      <c r="AB89" s="22" t="s">
        <v>6</v>
      </c>
      <c r="AC89" s="22">
        <f>3/20%</f>
        <v>15</v>
      </c>
      <c r="AD89" s="22" t="s">
        <v>6</v>
      </c>
      <c r="AE89" s="22" t="s">
        <v>236</v>
      </c>
      <c r="AF89" s="22" t="s">
        <v>240</v>
      </c>
      <c r="AG89" s="22" t="s">
        <v>6</v>
      </c>
      <c r="AH89" s="30" t="b">
        <v>0</v>
      </c>
      <c r="AI89" s="22" t="s">
        <v>6</v>
      </c>
      <c r="AJ89" s="22" t="s">
        <v>6</v>
      </c>
    </row>
    <row r="90" spans="1:36" x14ac:dyDescent="0.25">
      <c r="A90" s="22" t="s">
        <v>758</v>
      </c>
      <c r="B90" s="22" t="s">
        <v>231</v>
      </c>
      <c r="C90" s="22">
        <v>3</v>
      </c>
      <c r="D90" s="22" t="s">
        <v>614</v>
      </c>
      <c r="E90" s="22" t="s">
        <v>233</v>
      </c>
      <c r="F90" s="22" t="s">
        <v>733</v>
      </c>
      <c r="G90" s="22" t="s">
        <v>6</v>
      </c>
      <c r="H90" s="22" t="s">
        <v>6</v>
      </c>
      <c r="I90" s="22" t="s">
        <v>6</v>
      </c>
      <c r="J90" s="22" t="s">
        <v>24</v>
      </c>
      <c r="K90" s="22" t="s">
        <v>6</v>
      </c>
      <c r="L90" s="22">
        <v>11</v>
      </c>
      <c r="M90" s="22">
        <v>11</v>
      </c>
      <c r="N90" s="22">
        <v>27</v>
      </c>
      <c r="O90" s="22">
        <v>67</v>
      </c>
      <c r="P90" s="23">
        <v>5</v>
      </c>
      <c r="Q90" s="22">
        <v>20</v>
      </c>
      <c r="R90" s="22">
        <v>20</v>
      </c>
      <c r="S90" s="22" t="s">
        <v>6</v>
      </c>
      <c r="T90" s="23">
        <v>2</v>
      </c>
      <c r="U90" s="22">
        <v>20</v>
      </c>
      <c r="V90" s="22">
        <v>20</v>
      </c>
      <c r="W90" s="22" t="s">
        <v>6</v>
      </c>
      <c r="X90" s="22" t="s">
        <v>205</v>
      </c>
      <c r="Y90" s="22" t="s">
        <v>27</v>
      </c>
      <c r="Z90" s="22" t="s">
        <v>6</v>
      </c>
      <c r="AA90" s="22">
        <f>1/20%</f>
        <v>5</v>
      </c>
      <c r="AB90" s="22" t="s">
        <v>6</v>
      </c>
      <c r="AC90" s="22">
        <f>3/20%</f>
        <v>15</v>
      </c>
      <c r="AD90" s="22" t="s">
        <v>6</v>
      </c>
      <c r="AE90" s="22" t="s">
        <v>237</v>
      </c>
      <c r="AF90" s="22" t="s">
        <v>240</v>
      </c>
      <c r="AG90" s="22" t="s">
        <v>6</v>
      </c>
      <c r="AH90" s="30" t="b">
        <v>0</v>
      </c>
      <c r="AI90" s="22" t="s">
        <v>6</v>
      </c>
      <c r="AJ90" s="22" t="s">
        <v>6</v>
      </c>
    </row>
    <row r="91" spans="1:36" x14ac:dyDescent="0.25">
      <c r="A91" s="22" t="s">
        <v>758</v>
      </c>
      <c r="B91" s="22" t="s">
        <v>231</v>
      </c>
      <c r="C91" s="22">
        <v>3</v>
      </c>
      <c r="D91" s="22" t="s">
        <v>614</v>
      </c>
      <c r="E91" s="22" t="s">
        <v>233</v>
      </c>
      <c r="F91" s="22" t="s">
        <v>733</v>
      </c>
      <c r="G91" s="22" t="s">
        <v>6</v>
      </c>
      <c r="H91" s="22" t="s">
        <v>6</v>
      </c>
      <c r="I91" s="22" t="s">
        <v>6</v>
      </c>
      <c r="J91" s="22" t="s">
        <v>24</v>
      </c>
      <c r="K91" s="22" t="s">
        <v>6</v>
      </c>
      <c r="L91" s="22">
        <v>11</v>
      </c>
      <c r="M91" s="22">
        <v>11</v>
      </c>
      <c r="N91" s="22">
        <v>27</v>
      </c>
      <c r="O91" s="22">
        <v>67</v>
      </c>
      <c r="P91" s="23">
        <v>6</v>
      </c>
      <c r="Q91" s="22">
        <v>20</v>
      </c>
      <c r="R91" s="22">
        <v>20</v>
      </c>
      <c r="S91" s="22" t="s">
        <v>6</v>
      </c>
      <c r="T91" s="23">
        <v>2</v>
      </c>
      <c r="U91" s="22">
        <v>20</v>
      </c>
      <c r="V91" s="22">
        <v>20</v>
      </c>
      <c r="W91" s="22" t="s">
        <v>6</v>
      </c>
      <c r="X91" s="22" t="s">
        <v>205</v>
      </c>
      <c r="Y91" s="22" t="s">
        <v>27</v>
      </c>
      <c r="Z91" s="22" t="s">
        <v>6</v>
      </c>
      <c r="AA91" s="22">
        <f>3/20%</f>
        <v>15</v>
      </c>
      <c r="AB91" s="22" t="s">
        <v>6</v>
      </c>
      <c r="AC91" s="22">
        <f>3/20%</f>
        <v>15</v>
      </c>
      <c r="AD91" s="22" t="s">
        <v>6</v>
      </c>
      <c r="AE91" s="22" t="s">
        <v>238</v>
      </c>
      <c r="AF91" s="22" t="s">
        <v>240</v>
      </c>
      <c r="AG91" s="22" t="s">
        <v>6</v>
      </c>
      <c r="AH91" s="30" t="b">
        <v>0</v>
      </c>
      <c r="AI91" s="22" t="s">
        <v>6</v>
      </c>
      <c r="AJ91" s="22" t="s">
        <v>6</v>
      </c>
    </row>
    <row r="92" spans="1:36" ht="21" x14ac:dyDescent="0.25">
      <c r="A92" s="22" t="s">
        <v>758</v>
      </c>
      <c r="B92" s="22" t="s">
        <v>231</v>
      </c>
      <c r="C92" s="22">
        <v>3</v>
      </c>
      <c r="D92" s="22" t="s">
        <v>614</v>
      </c>
      <c r="E92" s="22" t="s">
        <v>233</v>
      </c>
      <c r="F92" s="22" t="s">
        <v>733</v>
      </c>
      <c r="G92" s="22" t="s">
        <v>6</v>
      </c>
      <c r="H92" s="22" t="s">
        <v>6</v>
      </c>
      <c r="I92" s="22" t="s">
        <v>6</v>
      </c>
      <c r="J92" s="22" t="s">
        <v>777</v>
      </c>
      <c r="K92" s="22">
        <v>1</v>
      </c>
      <c r="L92" s="22">
        <v>42</v>
      </c>
      <c r="M92" s="22">
        <v>42</v>
      </c>
      <c r="N92" s="22">
        <v>27</v>
      </c>
      <c r="O92" s="22">
        <v>68</v>
      </c>
      <c r="P92" s="23">
        <v>4</v>
      </c>
      <c r="Q92" s="22">
        <v>18</v>
      </c>
      <c r="R92" s="22">
        <v>18</v>
      </c>
      <c r="S92" s="22" t="s">
        <v>6</v>
      </c>
      <c r="T92" s="23">
        <v>2</v>
      </c>
      <c r="U92" s="22">
        <v>17</v>
      </c>
      <c r="V92" s="22">
        <v>17</v>
      </c>
      <c r="W92" s="22" t="s">
        <v>6</v>
      </c>
      <c r="X92" s="22" t="s">
        <v>198</v>
      </c>
      <c r="Y92" s="22" t="s">
        <v>27</v>
      </c>
      <c r="Z92" s="22" t="s">
        <v>6</v>
      </c>
      <c r="AA92" s="22">
        <v>94</v>
      </c>
      <c r="AB92" s="22" t="s">
        <v>6</v>
      </c>
      <c r="AC92" s="22">
        <v>100</v>
      </c>
      <c r="AD92" s="22" t="s">
        <v>6</v>
      </c>
      <c r="AE92" s="22" t="s">
        <v>236</v>
      </c>
      <c r="AF92" s="22" t="s">
        <v>240</v>
      </c>
      <c r="AG92" s="22" t="s">
        <v>6</v>
      </c>
      <c r="AH92" s="37" t="s">
        <v>671</v>
      </c>
      <c r="AI92" s="22" t="s">
        <v>681</v>
      </c>
      <c r="AJ92" s="22" t="s">
        <v>241</v>
      </c>
    </row>
    <row r="93" spans="1:36" x14ac:dyDescent="0.25">
      <c r="A93" s="22" t="s">
        <v>758</v>
      </c>
      <c r="B93" s="22" t="s">
        <v>231</v>
      </c>
      <c r="C93" s="22">
        <v>3</v>
      </c>
      <c r="D93" s="22" t="s">
        <v>614</v>
      </c>
      <c r="E93" s="22" t="s">
        <v>233</v>
      </c>
      <c r="F93" s="22" t="s">
        <v>733</v>
      </c>
      <c r="G93" s="22" t="s">
        <v>6</v>
      </c>
      <c r="H93" s="22" t="s">
        <v>6</v>
      </c>
      <c r="I93" s="22" t="s">
        <v>6</v>
      </c>
      <c r="J93" s="22" t="s">
        <v>777</v>
      </c>
      <c r="K93" s="22">
        <v>1</v>
      </c>
      <c r="L93" s="22">
        <v>42</v>
      </c>
      <c r="M93" s="22">
        <v>42</v>
      </c>
      <c r="N93" s="22">
        <v>27</v>
      </c>
      <c r="O93" s="22">
        <v>68</v>
      </c>
      <c r="P93" s="23">
        <v>5</v>
      </c>
      <c r="Q93" s="22">
        <v>19</v>
      </c>
      <c r="R93" s="22">
        <v>19</v>
      </c>
      <c r="S93" s="22" t="s">
        <v>6</v>
      </c>
      <c r="T93" s="23">
        <v>2</v>
      </c>
      <c r="U93" s="22">
        <v>17</v>
      </c>
      <c r="V93" s="22">
        <v>17</v>
      </c>
      <c r="W93" s="22" t="s">
        <v>6</v>
      </c>
      <c r="X93" s="22" t="s">
        <v>198</v>
      </c>
      <c r="Y93" s="22" t="s">
        <v>27</v>
      </c>
      <c r="Z93" s="22" t="s">
        <v>6</v>
      </c>
      <c r="AA93" s="22">
        <v>71</v>
      </c>
      <c r="AB93" s="22" t="s">
        <v>6</v>
      </c>
      <c r="AC93" s="22">
        <v>100</v>
      </c>
      <c r="AD93" s="22" t="s">
        <v>6</v>
      </c>
      <c r="AE93" s="22" t="s">
        <v>237</v>
      </c>
      <c r="AF93" s="22" t="s">
        <v>240</v>
      </c>
      <c r="AG93" s="22" t="s">
        <v>6</v>
      </c>
      <c r="AH93" s="30" t="s">
        <v>671</v>
      </c>
      <c r="AI93" s="22" t="s">
        <v>681</v>
      </c>
      <c r="AJ93" s="22" t="s">
        <v>241</v>
      </c>
    </row>
    <row r="94" spans="1:36" x14ac:dyDescent="0.25">
      <c r="A94" s="22" t="s">
        <v>758</v>
      </c>
      <c r="B94" s="22" t="s">
        <v>231</v>
      </c>
      <c r="C94" s="22">
        <v>3</v>
      </c>
      <c r="D94" s="22" t="s">
        <v>614</v>
      </c>
      <c r="E94" s="22" t="s">
        <v>233</v>
      </c>
      <c r="F94" s="22" t="s">
        <v>733</v>
      </c>
      <c r="G94" s="22" t="s">
        <v>6</v>
      </c>
      <c r="H94" s="22" t="s">
        <v>6</v>
      </c>
      <c r="I94" s="22" t="s">
        <v>6</v>
      </c>
      <c r="J94" s="22" t="s">
        <v>777</v>
      </c>
      <c r="K94" s="22">
        <v>1</v>
      </c>
      <c r="L94" s="22">
        <v>42</v>
      </c>
      <c r="M94" s="22">
        <v>42</v>
      </c>
      <c r="N94" s="22">
        <v>27</v>
      </c>
      <c r="O94" s="22">
        <v>68</v>
      </c>
      <c r="P94" s="23">
        <v>6</v>
      </c>
      <c r="Q94" s="22">
        <v>17</v>
      </c>
      <c r="R94" s="22">
        <v>17</v>
      </c>
      <c r="S94" s="22" t="s">
        <v>6</v>
      </c>
      <c r="T94" s="23">
        <v>2</v>
      </c>
      <c r="U94" s="22">
        <v>17</v>
      </c>
      <c r="V94" s="22">
        <v>17</v>
      </c>
      <c r="W94" s="22" t="s">
        <v>6</v>
      </c>
      <c r="X94" s="22" t="s">
        <v>198</v>
      </c>
      <c r="Y94" s="22" t="s">
        <v>27</v>
      </c>
      <c r="Z94" s="22" t="s">
        <v>6</v>
      </c>
      <c r="AA94" s="22">
        <v>71</v>
      </c>
      <c r="AB94" s="22" t="s">
        <v>6</v>
      </c>
      <c r="AC94" s="22">
        <v>100</v>
      </c>
      <c r="AD94" s="22" t="s">
        <v>6</v>
      </c>
      <c r="AE94" s="22" t="s">
        <v>238</v>
      </c>
      <c r="AF94" s="22" t="s">
        <v>240</v>
      </c>
      <c r="AG94" s="22" t="s">
        <v>6</v>
      </c>
      <c r="AH94" s="30" t="s">
        <v>671</v>
      </c>
      <c r="AI94" s="22" t="s">
        <v>681</v>
      </c>
      <c r="AJ94" s="22" t="s">
        <v>241</v>
      </c>
    </row>
    <row r="95" spans="1:36" x14ac:dyDescent="0.25">
      <c r="A95" s="22" t="s">
        <v>758</v>
      </c>
      <c r="B95" s="22" t="s">
        <v>231</v>
      </c>
      <c r="C95" s="22">
        <v>3</v>
      </c>
      <c r="D95" s="22" t="s">
        <v>614</v>
      </c>
      <c r="E95" s="22" t="s">
        <v>233</v>
      </c>
      <c r="F95" s="22" t="s">
        <v>733</v>
      </c>
      <c r="G95" s="22" t="s">
        <v>6</v>
      </c>
      <c r="H95" s="22" t="s">
        <v>6</v>
      </c>
      <c r="I95" s="22" t="s">
        <v>6</v>
      </c>
      <c r="J95" s="22" t="s">
        <v>773</v>
      </c>
      <c r="K95" s="22">
        <v>1</v>
      </c>
      <c r="L95" s="22">
        <v>42</v>
      </c>
      <c r="M95" s="22">
        <v>42</v>
      </c>
      <c r="N95" s="22">
        <v>27</v>
      </c>
      <c r="O95" s="22">
        <v>69</v>
      </c>
      <c r="P95" s="23">
        <v>4</v>
      </c>
      <c r="Q95" s="22">
        <v>18</v>
      </c>
      <c r="R95" s="22">
        <v>18</v>
      </c>
      <c r="S95" s="22">
        <v>18</v>
      </c>
      <c r="T95" s="23">
        <v>2</v>
      </c>
      <c r="U95" s="22">
        <v>17</v>
      </c>
      <c r="V95" s="22">
        <v>17</v>
      </c>
      <c r="W95" s="22">
        <v>17</v>
      </c>
      <c r="X95" s="22" t="s">
        <v>242</v>
      </c>
      <c r="Y95" s="22" t="s">
        <v>245</v>
      </c>
      <c r="Z95" s="22" t="s">
        <v>51</v>
      </c>
      <c r="AA95" s="22">
        <v>4.2296983581684602</v>
      </c>
      <c r="AB95" s="22">
        <v>6.9605568445475705E-2</v>
      </c>
      <c r="AC95" s="22">
        <v>4.6009280565443298</v>
      </c>
      <c r="AD95" s="22">
        <v>0.13921113689095099</v>
      </c>
      <c r="AE95" s="22" t="s">
        <v>236</v>
      </c>
      <c r="AF95" s="22" t="s">
        <v>244</v>
      </c>
      <c r="AG95" s="22" t="s">
        <v>6</v>
      </c>
      <c r="AH95" s="30" t="b">
        <v>1</v>
      </c>
      <c r="AI95" s="22" t="s">
        <v>663</v>
      </c>
      <c r="AJ95" s="22" t="s">
        <v>6</v>
      </c>
    </row>
    <row r="96" spans="1:36" x14ac:dyDescent="0.25">
      <c r="A96" s="22" t="s">
        <v>758</v>
      </c>
      <c r="B96" s="22" t="s">
        <v>231</v>
      </c>
      <c r="C96" s="22">
        <v>3</v>
      </c>
      <c r="D96" s="22" t="s">
        <v>614</v>
      </c>
      <c r="E96" s="22" t="s">
        <v>233</v>
      </c>
      <c r="F96" s="22" t="s">
        <v>733</v>
      </c>
      <c r="G96" s="22" t="s">
        <v>6</v>
      </c>
      <c r="H96" s="22" t="s">
        <v>6</v>
      </c>
      <c r="I96" s="22" t="s">
        <v>6</v>
      </c>
      <c r="J96" s="22" t="s">
        <v>773</v>
      </c>
      <c r="K96" s="22">
        <v>1</v>
      </c>
      <c r="L96" s="22">
        <v>42</v>
      </c>
      <c r="M96" s="22">
        <v>42</v>
      </c>
      <c r="N96" s="22">
        <v>27</v>
      </c>
      <c r="O96" s="22">
        <v>69</v>
      </c>
      <c r="P96" s="23">
        <v>5</v>
      </c>
      <c r="Q96" s="22">
        <v>19</v>
      </c>
      <c r="R96" s="22">
        <v>19</v>
      </c>
      <c r="S96" s="22">
        <v>19</v>
      </c>
      <c r="T96" s="23">
        <v>2</v>
      </c>
      <c r="U96" s="22">
        <v>17</v>
      </c>
      <c r="V96" s="22">
        <v>17</v>
      </c>
      <c r="W96" s="22">
        <v>17</v>
      </c>
      <c r="X96" s="22" t="s">
        <v>242</v>
      </c>
      <c r="Y96" s="22" t="s">
        <v>245</v>
      </c>
      <c r="Z96" s="22" t="s">
        <v>51</v>
      </c>
      <c r="AA96" s="22">
        <v>4.1090487061963001</v>
      </c>
      <c r="AB96" s="22">
        <v>0.13921113689095099</v>
      </c>
      <c r="AC96" s="22">
        <v>4.6009280565443298</v>
      </c>
      <c r="AD96" s="22">
        <v>0.13921113689095099</v>
      </c>
      <c r="AE96" s="22" t="s">
        <v>237</v>
      </c>
      <c r="AF96" s="22" t="s">
        <v>244</v>
      </c>
      <c r="AG96" s="22" t="s">
        <v>6</v>
      </c>
      <c r="AH96" s="30" t="b">
        <v>1</v>
      </c>
      <c r="AI96" s="22" t="s">
        <v>663</v>
      </c>
      <c r="AJ96" s="22" t="s">
        <v>6</v>
      </c>
    </row>
    <row r="97" spans="1:36" x14ac:dyDescent="0.25">
      <c r="A97" s="22" t="s">
        <v>758</v>
      </c>
      <c r="B97" s="22" t="s">
        <v>231</v>
      </c>
      <c r="C97" s="22">
        <v>3</v>
      </c>
      <c r="D97" s="22" t="s">
        <v>614</v>
      </c>
      <c r="E97" s="22" t="s">
        <v>233</v>
      </c>
      <c r="F97" s="22" t="s">
        <v>733</v>
      </c>
      <c r="G97" s="22" t="s">
        <v>6</v>
      </c>
      <c r="H97" s="22" t="s">
        <v>6</v>
      </c>
      <c r="I97" s="22" t="s">
        <v>6</v>
      </c>
      <c r="J97" s="22" t="s">
        <v>773</v>
      </c>
      <c r="K97" s="22">
        <v>1</v>
      </c>
      <c r="L97" s="22">
        <v>42</v>
      </c>
      <c r="M97" s="22">
        <v>42</v>
      </c>
      <c r="N97" s="22">
        <v>27</v>
      </c>
      <c r="O97" s="22">
        <v>69</v>
      </c>
      <c r="P97" s="23">
        <v>6</v>
      </c>
      <c r="Q97" s="22">
        <v>17</v>
      </c>
      <c r="R97" s="22">
        <v>17</v>
      </c>
      <c r="S97" s="22">
        <v>17</v>
      </c>
      <c r="T97" s="23">
        <v>2</v>
      </c>
      <c r="U97" s="22">
        <v>17</v>
      </c>
      <c r="V97" s="22">
        <v>17</v>
      </c>
      <c r="W97" s="22">
        <v>17</v>
      </c>
      <c r="X97" s="22" t="s">
        <v>242</v>
      </c>
      <c r="Y97" s="22" t="s">
        <v>245</v>
      </c>
      <c r="Z97" s="22" t="s">
        <v>51</v>
      </c>
      <c r="AA97" s="22">
        <v>3.6218097270779701</v>
      </c>
      <c r="AB97" s="39">
        <v>0.13313225100000001</v>
      </c>
      <c r="AC97" s="22">
        <v>4.6009280565443298</v>
      </c>
      <c r="AD97" s="22">
        <v>0.13921113689095099</v>
      </c>
      <c r="AE97" s="22" t="s">
        <v>238</v>
      </c>
      <c r="AF97" s="22" t="s">
        <v>244</v>
      </c>
      <c r="AG97" s="22" t="s">
        <v>6</v>
      </c>
      <c r="AH97" s="30" t="b">
        <v>1</v>
      </c>
      <c r="AI97" s="22" t="s">
        <v>663</v>
      </c>
      <c r="AJ97" s="22" t="s">
        <v>6</v>
      </c>
    </row>
    <row r="98" spans="1:36" x14ac:dyDescent="0.25">
      <c r="A98" s="22" t="s">
        <v>758</v>
      </c>
      <c r="B98" s="22" t="s">
        <v>231</v>
      </c>
      <c r="C98" s="22">
        <v>1</v>
      </c>
      <c r="D98" s="22" t="s">
        <v>615</v>
      </c>
      <c r="E98" s="22" t="s">
        <v>233</v>
      </c>
      <c r="F98" s="22" t="s">
        <v>733</v>
      </c>
      <c r="G98" s="22" t="s">
        <v>6</v>
      </c>
      <c r="H98" s="22" t="s">
        <v>728</v>
      </c>
      <c r="I98" s="22" t="s">
        <v>149</v>
      </c>
      <c r="J98" s="22" t="s">
        <v>773</v>
      </c>
      <c r="K98" s="22">
        <v>1</v>
      </c>
      <c r="L98" s="22">
        <v>11</v>
      </c>
      <c r="M98" s="22">
        <v>11</v>
      </c>
      <c r="N98" s="22">
        <v>25</v>
      </c>
      <c r="O98" s="22">
        <v>70</v>
      </c>
      <c r="P98" s="23">
        <v>1</v>
      </c>
      <c r="Q98" s="22">
        <v>20</v>
      </c>
      <c r="R98" s="22">
        <v>20</v>
      </c>
      <c r="S98" s="22">
        <v>20</v>
      </c>
      <c r="T98" s="23">
        <v>1</v>
      </c>
      <c r="U98" s="22">
        <v>20</v>
      </c>
      <c r="V98" s="22">
        <v>20</v>
      </c>
      <c r="W98" s="22">
        <v>20</v>
      </c>
      <c r="X98" s="22" t="s">
        <v>242</v>
      </c>
      <c r="Y98" s="22" t="s">
        <v>245</v>
      </c>
      <c r="Z98" s="22" t="s">
        <v>51</v>
      </c>
      <c r="AA98" s="22">
        <v>3.4957446970838202</v>
      </c>
      <c r="AB98" s="22">
        <v>0.14042553191489299</v>
      </c>
      <c r="AC98" s="22">
        <v>3.6021276758072198</v>
      </c>
      <c r="AD98" s="22">
        <v>0.15319148936170199</v>
      </c>
      <c r="AE98" s="22" t="s">
        <v>234</v>
      </c>
      <c r="AF98" s="22" t="s">
        <v>711</v>
      </c>
      <c r="AG98" s="22" t="s">
        <v>6</v>
      </c>
      <c r="AH98" s="30" t="b">
        <v>1</v>
      </c>
      <c r="AI98" s="22" t="s">
        <v>678</v>
      </c>
      <c r="AJ98" s="22" t="s">
        <v>677</v>
      </c>
    </row>
    <row r="99" spans="1:36" x14ac:dyDescent="0.25">
      <c r="A99" s="22" t="s">
        <v>758</v>
      </c>
      <c r="B99" s="22" t="s">
        <v>231</v>
      </c>
      <c r="C99" s="22">
        <v>1</v>
      </c>
      <c r="D99" s="22" t="s">
        <v>615</v>
      </c>
      <c r="E99" s="22" t="s">
        <v>233</v>
      </c>
      <c r="F99" s="22" t="s">
        <v>733</v>
      </c>
      <c r="G99" s="22" t="s">
        <v>6</v>
      </c>
      <c r="H99" s="22" t="s">
        <v>728</v>
      </c>
      <c r="I99" s="22" t="s">
        <v>149</v>
      </c>
      <c r="J99" s="22" t="s">
        <v>773</v>
      </c>
      <c r="K99" s="22">
        <v>1</v>
      </c>
      <c r="L99" s="22">
        <v>11</v>
      </c>
      <c r="M99" s="22">
        <v>11</v>
      </c>
      <c r="N99" s="22">
        <v>25</v>
      </c>
      <c r="O99" s="22">
        <v>70</v>
      </c>
      <c r="P99" s="23">
        <v>2</v>
      </c>
      <c r="Q99" s="22">
        <v>20</v>
      </c>
      <c r="R99" s="22">
        <v>20</v>
      </c>
      <c r="S99" s="22">
        <v>20</v>
      </c>
      <c r="T99" s="23">
        <v>1</v>
      </c>
      <c r="U99" s="22">
        <v>20</v>
      </c>
      <c r="V99" s="22">
        <v>20</v>
      </c>
      <c r="W99" s="22">
        <v>20</v>
      </c>
      <c r="X99" s="22" t="s">
        <v>242</v>
      </c>
      <c r="Y99" s="22" t="s">
        <v>245</v>
      </c>
      <c r="Z99" s="22" t="s">
        <v>51</v>
      </c>
      <c r="AA99" s="22">
        <v>2.9808510800625401</v>
      </c>
      <c r="AB99" s="22">
        <v>0.14042553191489299</v>
      </c>
      <c r="AC99" s="22">
        <v>3.6021276758072198</v>
      </c>
      <c r="AD99" s="22">
        <v>0.15319148936170199</v>
      </c>
      <c r="AE99" s="22" t="s">
        <v>239</v>
      </c>
      <c r="AF99" s="22" t="s">
        <v>711</v>
      </c>
      <c r="AG99" s="22" t="s">
        <v>6</v>
      </c>
      <c r="AH99" s="30" t="b">
        <v>1</v>
      </c>
      <c r="AI99" s="22" t="s">
        <v>678</v>
      </c>
      <c r="AJ99" s="22" t="s">
        <v>679</v>
      </c>
    </row>
    <row r="100" spans="1:36" x14ac:dyDescent="0.25">
      <c r="A100" s="22" t="s">
        <v>758</v>
      </c>
      <c r="B100" s="22" t="s">
        <v>246</v>
      </c>
      <c r="C100" s="22">
        <v>1</v>
      </c>
      <c r="D100" s="22" t="s">
        <v>615</v>
      </c>
      <c r="E100" s="22" t="s">
        <v>247</v>
      </c>
      <c r="F100" s="22" t="s">
        <v>733</v>
      </c>
      <c r="G100" s="22" t="s">
        <v>6</v>
      </c>
      <c r="H100" s="22" t="s">
        <v>730</v>
      </c>
      <c r="I100" s="22" t="s">
        <v>127</v>
      </c>
      <c r="J100" s="22" t="s">
        <v>24</v>
      </c>
      <c r="K100" s="22" t="s">
        <v>6</v>
      </c>
      <c r="L100" s="22">
        <v>70</v>
      </c>
      <c r="M100" s="22">
        <v>70</v>
      </c>
      <c r="N100" s="22">
        <v>28</v>
      </c>
      <c r="O100" s="22">
        <v>71</v>
      </c>
      <c r="P100" s="23">
        <v>1</v>
      </c>
      <c r="Q100" s="22">
        <v>32</v>
      </c>
      <c r="R100" s="22">
        <v>32</v>
      </c>
      <c r="S100" s="22" t="s">
        <v>6</v>
      </c>
      <c r="T100" s="23">
        <v>1</v>
      </c>
      <c r="U100" s="22">
        <v>11</v>
      </c>
      <c r="V100" s="22">
        <v>11</v>
      </c>
      <c r="W100" s="22" t="s">
        <v>6</v>
      </c>
      <c r="X100" s="22" t="s">
        <v>205</v>
      </c>
      <c r="Y100" s="22" t="s">
        <v>27</v>
      </c>
      <c r="Z100" s="22" t="s">
        <v>6</v>
      </c>
      <c r="AA100" s="40">
        <f>5/32%</f>
        <v>15.625</v>
      </c>
      <c r="AB100" s="40" t="s">
        <v>6</v>
      </c>
      <c r="AC100" s="40">
        <f>2/11%</f>
        <v>18.181818181818183</v>
      </c>
      <c r="AD100" s="22" t="s">
        <v>6</v>
      </c>
      <c r="AE100" s="22" t="s">
        <v>645</v>
      </c>
      <c r="AF100" s="22" t="s">
        <v>248</v>
      </c>
      <c r="AG100" s="22" t="s">
        <v>6</v>
      </c>
      <c r="AH100" s="30" t="b">
        <v>0</v>
      </c>
      <c r="AI100" s="22" t="s">
        <v>6</v>
      </c>
      <c r="AJ100" s="22" t="s">
        <v>6</v>
      </c>
    </row>
    <row r="101" spans="1:36" x14ac:dyDescent="0.25">
      <c r="A101" s="22" t="s">
        <v>758</v>
      </c>
      <c r="B101" s="22" t="s">
        <v>246</v>
      </c>
      <c r="C101" s="22">
        <v>1</v>
      </c>
      <c r="D101" s="22" t="s">
        <v>761</v>
      </c>
      <c r="E101" s="22" t="s">
        <v>6</v>
      </c>
      <c r="F101" s="22" t="s">
        <v>6</v>
      </c>
      <c r="G101" s="22" t="s">
        <v>6</v>
      </c>
      <c r="H101" s="22" t="s">
        <v>6</v>
      </c>
      <c r="I101" s="22" t="s">
        <v>6</v>
      </c>
      <c r="J101" s="22" t="s">
        <v>24</v>
      </c>
      <c r="K101" s="22" t="s">
        <v>6</v>
      </c>
      <c r="L101" s="22">
        <v>70</v>
      </c>
      <c r="M101" s="22">
        <v>70</v>
      </c>
      <c r="N101" s="22">
        <v>28</v>
      </c>
      <c r="O101" s="22">
        <v>71</v>
      </c>
      <c r="P101" s="23">
        <v>2</v>
      </c>
      <c r="Q101" s="22">
        <v>11</v>
      </c>
      <c r="R101" s="22">
        <v>11</v>
      </c>
      <c r="S101" s="22" t="s">
        <v>6</v>
      </c>
      <c r="T101" s="23">
        <v>2</v>
      </c>
      <c r="U101" s="22">
        <v>28</v>
      </c>
      <c r="V101" s="22">
        <v>28</v>
      </c>
      <c r="W101" s="22" t="s">
        <v>6</v>
      </c>
      <c r="X101" s="22" t="s">
        <v>205</v>
      </c>
      <c r="Y101" s="22" t="s">
        <v>27</v>
      </c>
      <c r="Z101" s="22" t="s">
        <v>6</v>
      </c>
      <c r="AA101" s="40">
        <f>2/11%</f>
        <v>18.181818181818183</v>
      </c>
      <c r="AB101" s="40" t="s">
        <v>6</v>
      </c>
      <c r="AC101" s="22">
        <f>4/28%</f>
        <v>14.285714285714285</v>
      </c>
      <c r="AD101" s="22" t="s">
        <v>6</v>
      </c>
      <c r="AE101" s="22" t="s">
        <v>646</v>
      </c>
      <c r="AF101" s="22" t="s">
        <v>248</v>
      </c>
      <c r="AG101" s="22" t="s">
        <v>6</v>
      </c>
      <c r="AH101" s="30" t="b">
        <v>0</v>
      </c>
      <c r="AI101" s="22" t="s">
        <v>6</v>
      </c>
      <c r="AJ101" s="22" t="s">
        <v>298</v>
      </c>
    </row>
    <row r="102" spans="1:36" x14ac:dyDescent="0.25">
      <c r="A102" s="22" t="s">
        <v>758</v>
      </c>
      <c r="B102" s="22" t="s">
        <v>246</v>
      </c>
      <c r="C102" s="22">
        <v>1</v>
      </c>
      <c r="D102" s="22" t="s">
        <v>615</v>
      </c>
      <c r="E102" s="22" t="s">
        <v>247</v>
      </c>
      <c r="F102" s="22" t="s">
        <v>733</v>
      </c>
      <c r="G102" s="22" t="s">
        <v>6</v>
      </c>
      <c r="H102" s="22" t="s">
        <v>730</v>
      </c>
      <c r="I102" s="22" t="s">
        <v>127</v>
      </c>
      <c r="J102" s="22" t="s">
        <v>777</v>
      </c>
      <c r="K102" s="22">
        <v>1</v>
      </c>
      <c r="L102" s="22">
        <v>70</v>
      </c>
      <c r="M102" s="22">
        <v>70</v>
      </c>
      <c r="N102" s="22">
        <v>28</v>
      </c>
      <c r="O102" s="22">
        <v>72</v>
      </c>
      <c r="P102" s="23">
        <v>1</v>
      </c>
      <c r="Q102" s="22">
        <v>27</v>
      </c>
      <c r="R102" s="22">
        <v>27</v>
      </c>
      <c r="S102" s="22" t="s">
        <v>6</v>
      </c>
      <c r="T102" s="23">
        <v>1</v>
      </c>
      <c r="U102" s="22">
        <v>9</v>
      </c>
      <c r="V102" s="22">
        <v>9</v>
      </c>
      <c r="W102" s="22" t="s">
        <v>6</v>
      </c>
      <c r="X102" s="22" t="s">
        <v>250</v>
      </c>
      <c r="Y102" s="22" t="s">
        <v>27</v>
      </c>
      <c r="Z102" s="22" t="s">
        <v>6</v>
      </c>
      <c r="AA102" s="40">
        <f>4/27%</f>
        <v>14.814814814814813</v>
      </c>
      <c r="AB102" s="40" t="s">
        <v>6</v>
      </c>
      <c r="AC102" s="40">
        <f>3/9%</f>
        <v>33.333333333333336</v>
      </c>
      <c r="AD102" s="22" t="s">
        <v>6</v>
      </c>
      <c r="AE102" s="22" t="s">
        <v>299</v>
      </c>
      <c r="AF102" s="22" t="s">
        <v>248</v>
      </c>
      <c r="AG102" s="22" t="s">
        <v>6</v>
      </c>
      <c r="AH102" s="30" t="b">
        <v>0</v>
      </c>
      <c r="AI102" s="22" t="s">
        <v>6</v>
      </c>
      <c r="AJ102" s="22" t="s">
        <v>249</v>
      </c>
    </row>
    <row r="103" spans="1:36" x14ac:dyDescent="0.25">
      <c r="A103" s="22" t="s">
        <v>758</v>
      </c>
      <c r="B103" s="22" t="s">
        <v>246</v>
      </c>
      <c r="C103" s="22">
        <v>1</v>
      </c>
      <c r="D103" s="22" t="s">
        <v>761</v>
      </c>
      <c r="E103" s="22" t="s">
        <v>6</v>
      </c>
      <c r="F103" s="22" t="s">
        <v>6</v>
      </c>
      <c r="G103" s="22" t="s">
        <v>6</v>
      </c>
      <c r="H103" s="22" t="s">
        <v>6</v>
      </c>
      <c r="I103" s="22" t="s">
        <v>6</v>
      </c>
      <c r="J103" s="22" t="s">
        <v>777</v>
      </c>
      <c r="K103" s="22">
        <v>1</v>
      </c>
      <c r="L103" s="22">
        <v>70</v>
      </c>
      <c r="M103" s="22">
        <v>70</v>
      </c>
      <c r="N103" s="22">
        <v>28</v>
      </c>
      <c r="O103" s="22">
        <v>72</v>
      </c>
      <c r="P103" s="23">
        <v>2</v>
      </c>
      <c r="Q103" s="22">
        <v>9</v>
      </c>
      <c r="R103" s="22">
        <v>9</v>
      </c>
      <c r="S103" s="22" t="s">
        <v>6</v>
      </c>
      <c r="T103" s="23">
        <v>2</v>
      </c>
      <c r="U103" s="22">
        <v>24</v>
      </c>
      <c r="V103" s="22">
        <v>24</v>
      </c>
      <c r="W103" s="22" t="s">
        <v>6</v>
      </c>
      <c r="X103" s="22" t="s">
        <v>250</v>
      </c>
      <c r="Y103" s="22" t="s">
        <v>27</v>
      </c>
      <c r="Z103" s="22" t="s">
        <v>6</v>
      </c>
      <c r="AA103" s="40">
        <f>3/9%</f>
        <v>33.333333333333336</v>
      </c>
      <c r="AB103" s="40" t="s">
        <v>6</v>
      </c>
      <c r="AC103" s="22">
        <f>4/24%</f>
        <v>16.666666666666668</v>
      </c>
      <c r="AD103" s="22" t="s">
        <v>6</v>
      </c>
      <c r="AE103" s="22" t="s">
        <v>300</v>
      </c>
      <c r="AF103" s="22" t="s">
        <v>248</v>
      </c>
      <c r="AG103" s="22" t="s">
        <v>6</v>
      </c>
      <c r="AH103" s="30" t="b">
        <v>0</v>
      </c>
      <c r="AI103" s="22" t="s">
        <v>6</v>
      </c>
      <c r="AJ103" s="22" t="s">
        <v>612</v>
      </c>
    </row>
    <row r="104" spans="1:36" x14ac:dyDescent="0.25">
      <c r="A104" s="22" t="s">
        <v>758</v>
      </c>
      <c r="B104" s="22" t="s">
        <v>246</v>
      </c>
      <c r="C104" s="22">
        <v>1</v>
      </c>
      <c r="D104" s="22" t="s">
        <v>615</v>
      </c>
      <c r="E104" s="22" t="s">
        <v>247</v>
      </c>
      <c r="F104" s="22" t="s">
        <v>733</v>
      </c>
      <c r="G104" s="22" t="s">
        <v>6</v>
      </c>
      <c r="H104" s="22" t="s">
        <v>730</v>
      </c>
      <c r="I104" s="22" t="s">
        <v>127</v>
      </c>
      <c r="J104" s="22" t="s">
        <v>774</v>
      </c>
      <c r="K104" s="22">
        <v>4</v>
      </c>
      <c r="L104" s="22">
        <v>35</v>
      </c>
      <c r="M104" s="22">
        <v>21</v>
      </c>
      <c r="N104" s="22">
        <v>28</v>
      </c>
      <c r="O104" s="22">
        <v>73</v>
      </c>
      <c r="P104" s="23">
        <v>1</v>
      </c>
      <c r="Q104" s="22">
        <v>32</v>
      </c>
      <c r="R104" s="22">
        <v>32</v>
      </c>
      <c r="S104" s="22" t="s">
        <v>6</v>
      </c>
      <c r="T104" s="23">
        <v>1</v>
      </c>
      <c r="U104" s="22">
        <v>11</v>
      </c>
      <c r="V104" s="22">
        <v>11</v>
      </c>
      <c r="W104" s="22" t="s">
        <v>6</v>
      </c>
      <c r="X104" s="22" t="s">
        <v>253</v>
      </c>
      <c r="Y104" s="22" t="s">
        <v>251</v>
      </c>
      <c r="Z104" s="22" t="s">
        <v>6</v>
      </c>
      <c r="AA104" s="40">
        <v>3.0203046459837002</v>
      </c>
      <c r="AB104" s="40" t="s">
        <v>6</v>
      </c>
      <c r="AC104" s="40">
        <v>3.3248731739024802</v>
      </c>
      <c r="AD104" s="22" t="s">
        <v>6</v>
      </c>
      <c r="AE104" s="22" t="s">
        <v>299</v>
      </c>
      <c r="AF104" s="22" t="s">
        <v>714</v>
      </c>
      <c r="AG104" s="22" t="s">
        <v>6</v>
      </c>
      <c r="AH104" s="30" t="s">
        <v>671</v>
      </c>
      <c r="AI104" s="22" t="s">
        <v>713</v>
      </c>
      <c r="AJ104" s="22" t="s">
        <v>252</v>
      </c>
    </row>
    <row r="105" spans="1:36" x14ac:dyDescent="0.25">
      <c r="A105" s="22" t="s">
        <v>758</v>
      </c>
      <c r="B105" s="22" t="s">
        <v>246</v>
      </c>
      <c r="C105" s="22">
        <v>1</v>
      </c>
      <c r="D105" s="22" t="s">
        <v>761</v>
      </c>
      <c r="E105" s="22" t="s">
        <v>6</v>
      </c>
      <c r="F105" s="22" t="s">
        <v>6</v>
      </c>
      <c r="G105" s="22" t="s">
        <v>6</v>
      </c>
      <c r="H105" s="22" t="s">
        <v>6</v>
      </c>
      <c r="I105" s="22" t="s">
        <v>6</v>
      </c>
      <c r="J105" s="22" t="s">
        <v>774</v>
      </c>
      <c r="K105" s="22">
        <v>4</v>
      </c>
      <c r="L105" s="22">
        <v>21</v>
      </c>
      <c r="M105" s="22">
        <v>14</v>
      </c>
      <c r="N105" s="22">
        <v>28</v>
      </c>
      <c r="O105" s="22">
        <v>73</v>
      </c>
      <c r="P105" s="23">
        <v>2</v>
      </c>
      <c r="Q105" s="22">
        <v>11</v>
      </c>
      <c r="R105" s="22">
        <v>11</v>
      </c>
      <c r="S105" s="22" t="s">
        <v>6</v>
      </c>
      <c r="T105" s="23">
        <v>2</v>
      </c>
      <c r="U105" s="22">
        <v>28</v>
      </c>
      <c r="V105" s="22">
        <v>28</v>
      </c>
      <c r="W105" s="22" t="s">
        <v>6</v>
      </c>
      <c r="X105" s="22" t="s">
        <v>253</v>
      </c>
      <c r="Y105" s="22" t="s">
        <v>251</v>
      </c>
      <c r="Z105" s="22" t="s">
        <v>6</v>
      </c>
      <c r="AA105" s="40">
        <v>3.3248731739024802</v>
      </c>
      <c r="AB105" s="40" t="s">
        <v>6</v>
      </c>
      <c r="AC105" s="22">
        <v>3.0455696202531599</v>
      </c>
      <c r="AD105" s="22" t="s">
        <v>6</v>
      </c>
      <c r="AE105" s="22" t="s">
        <v>300</v>
      </c>
      <c r="AF105" s="22" t="s">
        <v>715</v>
      </c>
      <c r="AG105" s="22" t="s">
        <v>6</v>
      </c>
      <c r="AH105" s="30" t="s">
        <v>671</v>
      </c>
      <c r="AI105" s="22" t="s">
        <v>713</v>
      </c>
      <c r="AJ105" s="22" t="s">
        <v>613</v>
      </c>
    </row>
    <row r="106" spans="1:36" x14ac:dyDescent="0.25">
      <c r="A106" s="22" t="s">
        <v>758</v>
      </c>
      <c r="B106" s="22" t="s">
        <v>254</v>
      </c>
      <c r="C106" s="22">
        <v>1</v>
      </c>
      <c r="D106" s="22" t="s">
        <v>614</v>
      </c>
      <c r="E106" s="22" t="s">
        <v>38</v>
      </c>
      <c r="F106" s="22" t="s">
        <v>38</v>
      </c>
      <c r="G106" s="22" t="s">
        <v>6</v>
      </c>
      <c r="H106" s="22" t="s">
        <v>6</v>
      </c>
      <c r="I106" s="22" t="s">
        <v>6</v>
      </c>
      <c r="J106" s="22" t="s">
        <v>24</v>
      </c>
      <c r="K106" s="22" t="s">
        <v>6</v>
      </c>
      <c r="L106" s="22">
        <v>35</v>
      </c>
      <c r="M106" s="22">
        <v>35</v>
      </c>
      <c r="N106" s="22">
        <v>30</v>
      </c>
      <c r="O106" s="22">
        <v>77</v>
      </c>
      <c r="P106" s="23">
        <v>1</v>
      </c>
      <c r="Q106" s="22">
        <v>15</v>
      </c>
      <c r="R106" s="22">
        <v>15</v>
      </c>
      <c r="S106" s="22" t="s">
        <v>6</v>
      </c>
      <c r="T106" s="23">
        <v>1</v>
      </c>
      <c r="U106" s="22">
        <v>14</v>
      </c>
      <c r="V106" s="22">
        <v>14</v>
      </c>
      <c r="W106" s="22" t="s">
        <v>6</v>
      </c>
      <c r="X106" s="22" t="s">
        <v>205</v>
      </c>
      <c r="Y106" s="22" t="s">
        <v>27</v>
      </c>
      <c r="Z106" s="22" t="s">
        <v>6</v>
      </c>
      <c r="AA106" s="22">
        <f>15/15%</f>
        <v>100</v>
      </c>
      <c r="AB106" s="22" t="s">
        <v>6</v>
      </c>
      <c r="AC106" s="22">
        <f>14/14%</f>
        <v>99.999999999999986</v>
      </c>
      <c r="AD106" s="22" t="s">
        <v>6</v>
      </c>
      <c r="AE106" s="22" t="s">
        <v>647</v>
      </c>
      <c r="AF106" s="22" t="s">
        <v>255</v>
      </c>
      <c r="AG106" s="22" t="s">
        <v>6</v>
      </c>
      <c r="AH106" s="30" t="b">
        <v>0</v>
      </c>
      <c r="AI106" s="22" t="s">
        <v>6</v>
      </c>
      <c r="AJ106" s="22" t="s">
        <v>648</v>
      </c>
    </row>
    <row r="107" spans="1:36" x14ac:dyDescent="0.25">
      <c r="A107" s="22" t="s">
        <v>758</v>
      </c>
      <c r="B107" s="22" t="s">
        <v>256</v>
      </c>
      <c r="C107" s="22">
        <v>1</v>
      </c>
      <c r="D107" s="22" t="s">
        <v>615</v>
      </c>
      <c r="E107" s="22" t="s">
        <v>160</v>
      </c>
      <c r="F107" s="22" t="s">
        <v>734</v>
      </c>
      <c r="G107" s="22" t="s">
        <v>6</v>
      </c>
      <c r="H107" s="22" t="s">
        <v>732</v>
      </c>
      <c r="I107" s="22" t="s">
        <v>257</v>
      </c>
      <c r="J107" s="22" t="s">
        <v>777</v>
      </c>
      <c r="K107" s="22">
        <v>1</v>
      </c>
      <c r="L107" s="22">
        <v>8</v>
      </c>
      <c r="M107" s="22">
        <v>8</v>
      </c>
      <c r="N107" s="22">
        <v>6</v>
      </c>
      <c r="O107" s="22">
        <v>78</v>
      </c>
      <c r="P107" s="23">
        <v>1</v>
      </c>
      <c r="Q107" s="22">
        <v>2</v>
      </c>
      <c r="R107" s="22">
        <v>2</v>
      </c>
      <c r="S107" s="22" t="s">
        <v>6</v>
      </c>
      <c r="T107" s="23">
        <v>1</v>
      </c>
      <c r="U107" s="22">
        <v>5</v>
      </c>
      <c r="V107" s="22">
        <v>5</v>
      </c>
      <c r="W107" s="22" t="s">
        <v>6</v>
      </c>
      <c r="X107" s="22" t="s">
        <v>258</v>
      </c>
      <c r="Y107" s="22" t="s">
        <v>27</v>
      </c>
      <c r="Z107" s="22" t="s">
        <v>6</v>
      </c>
      <c r="AA107" s="22">
        <f>2/2%</f>
        <v>100</v>
      </c>
      <c r="AB107" s="22" t="s">
        <v>6</v>
      </c>
      <c r="AC107" s="22">
        <f>5/5%</f>
        <v>100</v>
      </c>
      <c r="AD107" s="22" t="s">
        <v>6</v>
      </c>
      <c r="AE107" s="22" t="s">
        <v>6</v>
      </c>
      <c r="AF107" s="22" t="s">
        <v>259</v>
      </c>
      <c r="AG107" s="22" t="s">
        <v>6</v>
      </c>
      <c r="AH107" s="30" t="b">
        <v>0</v>
      </c>
      <c r="AI107" s="22" t="s">
        <v>6</v>
      </c>
      <c r="AJ107" s="22" t="s">
        <v>260</v>
      </c>
    </row>
    <row r="108" spans="1:36" x14ac:dyDescent="0.25">
      <c r="A108" s="22" t="s">
        <v>758</v>
      </c>
      <c r="B108" s="22" t="s">
        <v>256</v>
      </c>
      <c r="C108" s="22">
        <v>1</v>
      </c>
      <c r="D108" s="22" t="s">
        <v>615</v>
      </c>
      <c r="E108" s="22" t="s">
        <v>160</v>
      </c>
      <c r="F108" s="22" t="s">
        <v>734</v>
      </c>
      <c r="G108" s="22" t="s">
        <v>6</v>
      </c>
      <c r="H108" s="22" t="s">
        <v>732</v>
      </c>
      <c r="I108" s="22" t="s">
        <v>257</v>
      </c>
      <c r="J108" s="22" t="s">
        <v>24</v>
      </c>
      <c r="K108" s="22" t="s">
        <v>6</v>
      </c>
      <c r="L108" s="22">
        <v>27.5</v>
      </c>
      <c r="M108" s="22">
        <v>27.5</v>
      </c>
      <c r="N108" s="22">
        <v>6</v>
      </c>
      <c r="O108" s="22">
        <v>79</v>
      </c>
      <c r="P108" s="23">
        <v>1</v>
      </c>
      <c r="Q108" s="22">
        <v>2</v>
      </c>
      <c r="R108" s="22">
        <v>2</v>
      </c>
      <c r="S108" s="22" t="s">
        <v>6</v>
      </c>
      <c r="T108" s="23">
        <v>1</v>
      </c>
      <c r="U108" s="22">
        <v>5</v>
      </c>
      <c r="V108" s="22">
        <v>5</v>
      </c>
      <c r="W108" s="22" t="s">
        <v>6</v>
      </c>
      <c r="X108" s="22" t="s">
        <v>205</v>
      </c>
      <c r="Y108" s="22" t="s">
        <v>27</v>
      </c>
      <c r="Z108" s="22" t="s">
        <v>6</v>
      </c>
      <c r="AA108" s="22">
        <f>2/2%</f>
        <v>100</v>
      </c>
      <c r="AB108" s="22" t="s">
        <v>6</v>
      </c>
      <c r="AC108" s="22">
        <f>5/5%</f>
        <v>100</v>
      </c>
      <c r="AD108" s="22" t="s">
        <v>6</v>
      </c>
      <c r="AE108" s="22" t="s">
        <v>6</v>
      </c>
      <c r="AF108" s="22" t="s">
        <v>259</v>
      </c>
      <c r="AG108" s="22" t="s">
        <v>6</v>
      </c>
      <c r="AH108" s="30" t="b">
        <v>0</v>
      </c>
      <c r="AI108" s="22" t="s">
        <v>6</v>
      </c>
      <c r="AJ108" s="22" t="s">
        <v>261</v>
      </c>
    </row>
    <row r="109" spans="1:36" x14ac:dyDescent="0.25">
      <c r="A109" s="22" t="s">
        <v>758</v>
      </c>
      <c r="B109" s="22" t="s">
        <v>262</v>
      </c>
      <c r="C109" s="22">
        <v>1</v>
      </c>
      <c r="D109" s="22" t="s">
        <v>139</v>
      </c>
      <c r="E109" s="22" t="s">
        <v>6</v>
      </c>
      <c r="F109" s="22" t="s">
        <v>6</v>
      </c>
      <c r="G109" s="22" t="s">
        <v>633</v>
      </c>
      <c r="H109" s="22" t="s">
        <v>6</v>
      </c>
      <c r="I109" s="22" t="s">
        <v>263</v>
      </c>
      <c r="J109" s="22" t="s">
        <v>24</v>
      </c>
      <c r="K109" s="22" t="s">
        <v>6</v>
      </c>
      <c r="L109" s="22">
        <v>241</v>
      </c>
      <c r="M109" s="22">
        <v>241</v>
      </c>
      <c r="N109" s="22">
        <v>31</v>
      </c>
      <c r="O109" s="22">
        <v>80</v>
      </c>
      <c r="P109" s="23">
        <v>1</v>
      </c>
      <c r="Q109" s="22">
        <v>7</v>
      </c>
      <c r="R109" s="22">
        <v>7</v>
      </c>
      <c r="S109" s="22" t="s">
        <v>6</v>
      </c>
      <c r="T109" s="23">
        <v>1</v>
      </c>
      <c r="U109" s="22">
        <v>8</v>
      </c>
      <c r="V109" s="22">
        <v>8</v>
      </c>
      <c r="W109" s="22" t="s">
        <v>6</v>
      </c>
      <c r="X109" s="22" t="s">
        <v>205</v>
      </c>
      <c r="Y109" s="22" t="s">
        <v>27</v>
      </c>
      <c r="Z109" s="22" t="s">
        <v>6</v>
      </c>
      <c r="AA109" s="22">
        <v>28.752642706131098</v>
      </c>
      <c r="AB109" s="22" t="s">
        <v>6</v>
      </c>
      <c r="AC109" s="22">
        <v>49.8942917547568</v>
      </c>
      <c r="AD109" s="22" t="s">
        <v>6</v>
      </c>
      <c r="AE109" s="22" t="s">
        <v>6</v>
      </c>
      <c r="AF109" s="22" t="s">
        <v>267</v>
      </c>
      <c r="AG109" s="22" t="s">
        <v>6</v>
      </c>
      <c r="AH109" s="30" t="b">
        <v>0</v>
      </c>
      <c r="AI109" s="22" t="s">
        <v>6</v>
      </c>
      <c r="AJ109" s="22" t="s">
        <v>268</v>
      </c>
    </row>
    <row r="110" spans="1:36" x14ac:dyDescent="0.25">
      <c r="A110" s="22" t="s">
        <v>758</v>
      </c>
      <c r="B110" s="22" t="s">
        <v>262</v>
      </c>
      <c r="C110" s="22">
        <v>1</v>
      </c>
      <c r="D110" s="22" t="s">
        <v>139</v>
      </c>
      <c r="E110" s="22" t="s">
        <v>6</v>
      </c>
      <c r="F110" s="22" t="s">
        <v>6</v>
      </c>
      <c r="G110" s="22" t="s">
        <v>633</v>
      </c>
      <c r="H110" s="22" t="s">
        <v>6</v>
      </c>
      <c r="I110" s="22" t="s">
        <v>264</v>
      </c>
      <c r="J110" s="22" t="s">
        <v>24</v>
      </c>
      <c r="K110" s="22" t="s">
        <v>6</v>
      </c>
      <c r="L110" s="22">
        <v>241</v>
      </c>
      <c r="M110" s="22">
        <v>241</v>
      </c>
      <c r="N110" s="22">
        <v>31</v>
      </c>
      <c r="O110" s="22">
        <v>80</v>
      </c>
      <c r="P110" s="23">
        <v>2</v>
      </c>
      <c r="Q110" s="22">
        <v>7</v>
      </c>
      <c r="R110" s="22">
        <v>7</v>
      </c>
      <c r="S110" s="22" t="s">
        <v>6</v>
      </c>
      <c r="T110" s="23">
        <v>1</v>
      </c>
      <c r="U110" s="22">
        <v>8</v>
      </c>
      <c r="V110" s="22">
        <v>8</v>
      </c>
      <c r="W110" s="22" t="s">
        <v>6</v>
      </c>
      <c r="X110" s="22" t="s">
        <v>205</v>
      </c>
      <c r="Y110" s="22" t="s">
        <v>27</v>
      </c>
      <c r="Z110" s="22" t="s">
        <v>6</v>
      </c>
      <c r="AA110" s="22">
        <v>71.247357293868902</v>
      </c>
      <c r="AB110" s="22" t="s">
        <v>6</v>
      </c>
      <c r="AC110" s="22">
        <v>49.8942917547568</v>
      </c>
      <c r="AD110" s="22" t="s">
        <v>6</v>
      </c>
      <c r="AE110" s="22" t="s">
        <v>6</v>
      </c>
      <c r="AF110" s="22" t="s">
        <v>267</v>
      </c>
      <c r="AG110" s="22" t="s">
        <v>6</v>
      </c>
      <c r="AH110" s="30" t="b">
        <v>0</v>
      </c>
      <c r="AI110" s="22" t="s">
        <v>6</v>
      </c>
      <c r="AJ110" s="22" t="s">
        <v>269</v>
      </c>
    </row>
    <row r="111" spans="1:36" x14ac:dyDescent="0.25">
      <c r="A111" s="22" t="s">
        <v>758</v>
      </c>
      <c r="B111" s="22" t="s">
        <v>262</v>
      </c>
      <c r="C111" s="22">
        <v>1</v>
      </c>
      <c r="D111" s="22" t="s">
        <v>139</v>
      </c>
      <c r="E111" s="22" t="s">
        <v>6</v>
      </c>
      <c r="F111" s="22" t="s">
        <v>6</v>
      </c>
      <c r="G111" s="22" t="s">
        <v>633</v>
      </c>
      <c r="H111" s="22" t="s">
        <v>6</v>
      </c>
      <c r="I111" s="22" t="s">
        <v>265</v>
      </c>
      <c r="J111" s="22" t="s">
        <v>24</v>
      </c>
      <c r="K111" s="22" t="s">
        <v>6</v>
      </c>
      <c r="L111" s="22">
        <v>241</v>
      </c>
      <c r="M111" s="22">
        <v>241</v>
      </c>
      <c r="N111" s="22">
        <v>31</v>
      </c>
      <c r="O111" s="22">
        <v>80</v>
      </c>
      <c r="P111" s="23">
        <v>3</v>
      </c>
      <c r="Q111" s="22">
        <v>7</v>
      </c>
      <c r="R111" s="22">
        <v>7</v>
      </c>
      <c r="S111" s="22" t="s">
        <v>6</v>
      </c>
      <c r="T111" s="23">
        <v>1</v>
      </c>
      <c r="U111" s="22">
        <v>8</v>
      </c>
      <c r="V111" s="22">
        <v>8</v>
      </c>
      <c r="W111" s="22" t="s">
        <v>6</v>
      </c>
      <c r="X111" s="22" t="s">
        <v>205</v>
      </c>
      <c r="Y111" s="22" t="s">
        <v>27</v>
      </c>
      <c r="Z111" s="22" t="s">
        <v>6</v>
      </c>
      <c r="AA111" s="22">
        <v>71.458773784355202</v>
      </c>
      <c r="AB111" s="22" t="s">
        <v>6</v>
      </c>
      <c r="AC111" s="22">
        <v>49.8942917547568</v>
      </c>
      <c r="AD111" s="22" t="s">
        <v>6</v>
      </c>
      <c r="AE111" s="22" t="s">
        <v>6</v>
      </c>
      <c r="AF111" s="22" t="s">
        <v>267</v>
      </c>
      <c r="AG111" s="22" t="s">
        <v>6</v>
      </c>
      <c r="AH111" s="30" t="b">
        <v>0</v>
      </c>
      <c r="AI111" s="22" t="s">
        <v>6</v>
      </c>
      <c r="AJ111" s="22" t="s">
        <v>269</v>
      </c>
    </row>
    <row r="112" spans="1:36" x14ac:dyDescent="0.25">
      <c r="A112" s="22" t="s">
        <v>758</v>
      </c>
      <c r="B112" s="22" t="s">
        <v>262</v>
      </c>
      <c r="C112" s="22">
        <v>1</v>
      </c>
      <c r="D112" s="22" t="s">
        <v>139</v>
      </c>
      <c r="E112" s="22" t="s">
        <v>6</v>
      </c>
      <c r="F112" s="22" t="s">
        <v>6</v>
      </c>
      <c r="G112" s="22" t="s">
        <v>633</v>
      </c>
      <c r="H112" s="22" t="s">
        <v>6</v>
      </c>
      <c r="I112" s="22" t="s">
        <v>266</v>
      </c>
      <c r="J112" s="22" t="s">
        <v>24</v>
      </c>
      <c r="K112" s="22" t="s">
        <v>6</v>
      </c>
      <c r="L112" s="22">
        <v>241</v>
      </c>
      <c r="M112" s="22">
        <v>241</v>
      </c>
      <c r="N112" s="22">
        <v>31</v>
      </c>
      <c r="O112" s="22">
        <v>80</v>
      </c>
      <c r="P112" s="23">
        <v>4</v>
      </c>
      <c r="Q112" s="22">
        <v>8</v>
      </c>
      <c r="R112" s="22">
        <v>8</v>
      </c>
      <c r="S112" s="22" t="s">
        <v>6</v>
      </c>
      <c r="T112" s="23">
        <v>1</v>
      </c>
      <c r="U112" s="22">
        <v>8</v>
      </c>
      <c r="V112" s="22">
        <v>8</v>
      </c>
      <c r="W112" s="22" t="s">
        <v>6</v>
      </c>
      <c r="X112" s="22" t="s">
        <v>205</v>
      </c>
      <c r="Y112" s="22" t="s">
        <v>27</v>
      </c>
      <c r="Z112" s="22" t="s">
        <v>6</v>
      </c>
      <c r="AA112" s="22">
        <v>87.315010570824498</v>
      </c>
      <c r="AB112" s="22" t="s">
        <v>6</v>
      </c>
      <c r="AC112" s="22">
        <v>49.8942917547568</v>
      </c>
      <c r="AD112" s="22" t="s">
        <v>6</v>
      </c>
      <c r="AE112" s="22" t="s">
        <v>6</v>
      </c>
      <c r="AF112" s="22" t="s">
        <v>267</v>
      </c>
      <c r="AG112" s="22" t="s">
        <v>6</v>
      </c>
      <c r="AH112" s="30" t="b">
        <v>0</v>
      </c>
      <c r="AI112" s="22" t="s">
        <v>6</v>
      </c>
      <c r="AJ112" s="22" t="s">
        <v>6</v>
      </c>
    </row>
    <row r="113" spans="1:36" x14ac:dyDescent="0.25">
      <c r="A113" s="22" t="s">
        <v>758</v>
      </c>
      <c r="B113" s="22" t="s">
        <v>262</v>
      </c>
      <c r="C113" s="22">
        <v>1</v>
      </c>
      <c r="D113" s="22" t="s">
        <v>139</v>
      </c>
      <c r="E113" s="22" t="s">
        <v>6</v>
      </c>
      <c r="F113" s="22" t="s">
        <v>6</v>
      </c>
      <c r="G113" s="22" t="s">
        <v>633</v>
      </c>
      <c r="H113" s="22" t="s">
        <v>6</v>
      </c>
      <c r="I113" s="22" t="s">
        <v>263</v>
      </c>
      <c r="J113" s="22" t="s">
        <v>777</v>
      </c>
      <c r="K113" s="22">
        <v>1</v>
      </c>
      <c r="L113" s="22">
        <v>241</v>
      </c>
      <c r="M113" s="22">
        <v>241</v>
      </c>
      <c r="N113" s="22">
        <v>31</v>
      </c>
      <c r="O113" s="22">
        <v>81</v>
      </c>
      <c r="P113" s="23">
        <v>1</v>
      </c>
      <c r="Q113" s="22">
        <v>5</v>
      </c>
      <c r="R113" s="22">
        <v>5</v>
      </c>
      <c r="S113" s="22" t="s">
        <v>6</v>
      </c>
      <c r="T113" s="23">
        <v>1</v>
      </c>
      <c r="U113" s="22">
        <v>4</v>
      </c>
      <c r="V113" s="22">
        <v>4</v>
      </c>
      <c r="W113" s="22" t="s">
        <v>6</v>
      </c>
      <c r="X113" s="22" t="s">
        <v>198</v>
      </c>
      <c r="Y113" s="22" t="s">
        <v>27</v>
      </c>
      <c r="Z113" s="22" t="s">
        <v>6</v>
      </c>
      <c r="AA113" s="22">
        <f>4/5%</f>
        <v>80</v>
      </c>
      <c r="AB113" s="22" t="s">
        <v>6</v>
      </c>
      <c r="AC113" s="22">
        <f>0/4%</f>
        <v>0</v>
      </c>
      <c r="AD113" s="22" t="s">
        <v>6</v>
      </c>
      <c r="AE113" s="22" t="s">
        <v>6</v>
      </c>
      <c r="AF113" s="22" t="s">
        <v>270</v>
      </c>
      <c r="AG113" s="22" t="s">
        <v>6</v>
      </c>
      <c r="AH113" s="30" t="b">
        <v>0</v>
      </c>
      <c r="AI113" s="22" t="s">
        <v>6</v>
      </c>
      <c r="AJ113" s="22" t="s">
        <v>268</v>
      </c>
    </row>
    <row r="114" spans="1:36" x14ac:dyDescent="0.25">
      <c r="A114" s="22" t="s">
        <v>758</v>
      </c>
      <c r="B114" s="22" t="s">
        <v>262</v>
      </c>
      <c r="C114" s="22">
        <v>1</v>
      </c>
      <c r="D114" s="22" t="s">
        <v>139</v>
      </c>
      <c r="E114" s="22" t="s">
        <v>6</v>
      </c>
      <c r="F114" s="22" t="s">
        <v>6</v>
      </c>
      <c r="G114" s="22" t="s">
        <v>633</v>
      </c>
      <c r="H114" s="22" t="s">
        <v>6</v>
      </c>
      <c r="I114" s="22" t="s">
        <v>264</v>
      </c>
      <c r="J114" s="22" t="s">
        <v>777</v>
      </c>
      <c r="K114" s="22">
        <v>1</v>
      </c>
      <c r="L114" s="22">
        <v>241</v>
      </c>
      <c r="M114" s="22">
        <v>241</v>
      </c>
      <c r="N114" s="22">
        <v>31</v>
      </c>
      <c r="O114" s="22">
        <v>81</v>
      </c>
      <c r="P114" s="23">
        <v>2</v>
      </c>
      <c r="Q114" s="22">
        <v>2</v>
      </c>
      <c r="R114" s="22">
        <v>2</v>
      </c>
      <c r="S114" s="22" t="s">
        <v>6</v>
      </c>
      <c r="T114" s="23">
        <v>1</v>
      </c>
      <c r="U114" s="22">
        <v>4</v>
      </c>
      <c r="V114" s="22">
        <v>4</v>
      </c>
      <c r="W114" s="22" t="s">
        <v>6</v>
      </c>
      <c r="X114" s="22" t="s">
        <v>198</v>
      </c>
      <c r="Y114" s="22" t="s">
        <v>27</v>
      </c>
      <c r="Z114" s="22" t="s">
        <v>6</v>
      </c>
      <c r="AA114" s="22">
        <f>2/2%</f>
        <v>100</v>
      </c>
      <c r="AB114" s="22" t="s">
        <v>6</v>
      </c>
      <c r="AC114" s="22">
        <f>0/4%</f>
        <v>0</v>
      </c>
      <c r="AD114" s="22" t="s">
        <v>6</v>
      </c>
      <c r="AE114" s="22" t="s">
        <v>6</v>
      </c>
      <c r="AF114" s="22" t="s">
        <v>270</v>
      </c>
      <c r="AG114" s="22" t="s">
        <v>6</v>
      </c>
      <c r="AH114" s="30" t="b">
        <v>0</v>
      </c>
      <c r="AI114" s="22" t="s">
        <v>6</v>
      </c>
      <c r="AJ114" s="22" t="s">
        <v>269</v>
      </c>
    </row>
    <row r="115" spans="1:36" x14ac:dyDescent="0.25">
      <c r="A115" s="22" t="s">
        <v>758</v>
      </c>
      <c r="B115" s="22" t="s">
        <v>262</v>
      </c>
      <c r="C115" s="22">
        <v>1</v>
      </c>
      <c r="D115" s="22" t="s">
        <v>139</v>
      </c>
      <c r="E115" s="22" t="s">
        <v>6</v>
      </c>
      <c r="F115" s="22" t="s">
        <v>6</v>
      </c>
      <c r="G115" s="22" t="s">
        <v>633</v>
      </c>
      <c r="H115" s="22" t="s">
        <v>6</v>
      </c>
      <c r="I115" s="22" t="s">
        <v>265</v>
      </c>
      <c r="J115" s="22" t="s">
        <v>777</v>
      </c>
      <c r="K115" s="22">
        <v>1</v>
      </c>
      <c r="L115" s="22">
        <v>241</v>
      </c>
      <c r="M115" s="22">
        <v>241</v>
      </c>
      <c r="N115" s="22">
        <v>31</v>
      </c>
      <c r="O115" s="22">
        <v>81</v>
      </c>
      <c r="P115" s="23">
        <v>3</v>
      </c>
      <c r="Q115" s="22">
        <v>2</v>
      </c>
      <c r="R115" s="22">
        <v>2</v>
      </c>
      <c r="S115" s="22" t="s">
        <v>6</v>
      </c>
      <c r="T115" s="23">
        <v>1</v>
      </c>
      <c r="U115" s="22">
        <v>4</v>
      </c>
      <c r="V115" s="22">
        <v>4</v>
      </c>
      <c r="W115" s="22" t="s">
        <v>6</v>
      </c>
      <c r="X115" s="22" t="s">
        <v>198</v>
      </c>
      <c r="Y115" s="22" t="s">
        <v>27</v>
      </c>
      <c r="Z115" s="22" t="s">
        <v>6</v>
      </c>
      <c r="AA115" s="22">
        <f>2/2%</f>
        <v>100</v>
      </c>
      <c r="AB115" s="22" t="s">
        <v>6</v>
      </c>
      <c r="AC115" s="22">
        <f>0/4%</f>
        <v>0</v>
      </c>
      <c r="AD115" s="22" t="s">
        <v>6</v>
      </c>
      <c r="AE115" s="22" t="s">
        <v>6</v>
      </c>
      <c r="AF115" s="22" t="s">
        <v>270</v>
      </c>
      <c r="AG115" s="22" t="s">
        <v>6</v>
      </c>
      <c r="AH115" s="30" t="b">
        <v>0</v>
      </c>
      <c r="AI115" s="22" t="s">
        <v>6</v>
      </c>
      <c r="AJ115" s="22" t="s">
        <v>269</v>
      </c>
    </row>
    <row r="116" spans="1:36" x14ac:dyDescent="0.25">
      <c r="A116" s="22" t="s">
        <v>758</v>
      </c>
      <c r="B116" s="22" t="s">
        <v>262</v>
      </c>
      <c r="C116" s="22">
        <v>1</v>
      </c>
      <c r="D116" s="22" t="s">
        <v>139</v>
      </c>
      <c r="E116" s="22" t="s">
        <v>6</v>
      </c>
      <c r="F116" s="22" t="s">
        <v>6</v>
      </c>
      <c r="G116" s="22" t="s">
        <v>633</v>
      </c>
      <c r="H116" s="22" t="s">
        <v>6</v>
      </c>
      <c r="I116" s="22" t="s">
        <v>266</v>
      </c>
      <c r="J116" s="22" t="s">
        <v>777</v>
      </c>
      <c r="K116" s="22">
        <v>1</v>
      </c>
      <c r="L116" s="22">
        <v>241</v>
      </c>
      <c r="M116" s="22">
        <v>241</v>
      </c>
      <c r="N116" s="22">
        <v>31</v>
      </c>
      <c r="O116" s="22">
        <v>81</v>
      </c>
      <c r="P116" s="23">
        <v>4</v>
      </c>
      <c r="Q116" s="22">
        <v>1</v>
      </c>
      <c r="R116" s="22">
        <v>1</v>
      </c>
      <c r="S116" s="22" t="s">
        <v>6</v>
      </c>
      <c r="T116" s="23">
        <v>1</v>
      </c>
      <c r="U116" s="22">
        <v>4</v>
      </c>
      <c r="V116" s="22">
        <v>4</v>
      </c>
      <c r="W116" s="22" t="s">
        <v>6</v>
      </c>
      <c r="X116" s="22" t="s">
        <v>198</v>
      </c>
      <c r="Y116" s="22" t="s">
        <v>27</v>
      </c>
      <c r="Z116" s="22" t="s">
        <v>6</v>
      </c>
      <c r="AA116" s="22">
        <f>1/1%</f>
        <v>100</v>
      </c>
      <c r="AB116" s="22" t="s">
        <v>6</v>
      </c>
      <c r="AC116" s="22">
        <f>0/4%</f>
        <v>0</v>
      </c>
      <c r="AD116" s="22" t="s">
        <v>6</v>
      </c>
      <c r="AE116" s="22" t="s">
        <v>6</v>
      </c>
      <c r="AF116" s="22" t="s">
        <v>270</v>
      </c>
      <c r="AG116" s="22" t="s">
        <v>6</v>
      </c>
      <c r="AH116" s="30" t="b">
        <v>0</v>
      </c>
      <c r="AI116" s="22" t="s">
        <v>6</v>
      </c>
      <c r="AJ116" s="22" t="s">
        <v>6</v>
      </c>
    </row>
    <row r="117" spans="1:36" x14ac:dyDescent="0.25">
      <c r="A117" s="22" t="s">
        <v>758</v>
      </c>
      <c r="B117" s="22" t="s">
        <v>479</v>
      </c>
      <c r="C117" s="22">
        <v>1</v>
      </c>
      <c r="D117" s="22" t="s">
        <v>139</v>
      </c>
      <c r="E117" s="22" t="s">
        <v>6</v>
      </c>
      <c r="F117" s="22" t="s">
        <v>6</v>
      </c>
      <c r="G117" s="22" t="s">
        <v>633</v>
      </c>
      <c r="H117" s="22" t="s">
        <v>6</v>
      </c>
      <c r="I117" s="22" t="s">
        <v>271</v>
      </c>
      <c r="J117" s="22" t="s">
        <v>24</v>
      </c>
      <c r="K117" s="22" t="s">
        <v>6</v>
      </c>
      <c r="L117" s="22">
        <v>116</v>
      </c>
      <c r="M117" s="22">
        <v>109</v>
      </c>
      <c r="N117" s="22">
        <v>32</v>
      </c>
      <c r="O117" s="22">
        <v>82</v>
      </c>
      <c r="P117" s="23">
        <v>1</v>
      </c>
      <c r="Q117" s="22">
        <v>20</v>
      </c>
      <c r="R117" s="22">
        <v>20</v>
      </c>
      <c r="S117" s="22" t="s">
        <v>6</v>
      </c>
      <c r="T117" s="23">
        <v>1</v>
      </c>
      <c r="U117" s="22">
        <v>20</v>
      </c>
      <c r="V117" s="22">
        <v>20</v>
      </c>
      <c r="W117" s="22" t="s">
        <v>6</v>
      </c>
      <c r="X117" s="22" t="s">
        <v>205</v>
      </c>
      <c r="Y117" s="22" t="s">
        <v>27</v>
      </c>
      <c r="Z117" s="22" t="s">
        <v>6</v>
      </c>
      <c r="AA117" s="22">
        <v>100</v>
      </c>
      <c r="AB117" s="22" t="s">
        <v>6</v>
      </c>
      <c r="AC117" s="22">
        <v>100</v>
      </c>
      <c r="AD117" s="22" t="s">
        <v>6</v>
      </c>
      <c r="AE117" s="22" t="s">
        <v>6</v>
      </c>
      <c r="AF117" s="22" t="s">
        <v>267</v>
      </c>
      <c r="AG117" s="22" t="s">
        <v>6</v>
      </c>
      <c r="AH117" s="30" t="b">
        <v>0</v>
      </c>
      <c r="AI117" s="22" t="s">
        <v>6</v>
      </c>
      <c r="AJ117" s="22" t="s">
        <v>6</v>
      </c>
    </row>
    <row r="118" spans="1:36" x14ac:dyDescent="0.25">
      <c r="A118" s="22" t="s">
        <v>758</v>
      </c>
      <c r="B118" s="22" t="s">
        <v>479</v>
      </c>
      <c r="C118" s="22">
        <v>1</v>
      </c>
      <c r="D118" s="22" t="s">
        <v>139</v>
      </c>
      <c r="E118" s="22" t="s">
        <v>6</v>
      </c>
      <c r="F118" s="22" t="s">
        <v>6</v>
      </c>
      <c r="G118" s="22" t="s">
        <v>633</v>
      </c>
      <c r="H118" s="22" t="s">
        <v>6</v>
      </c>
      <c r="I118" s="22" t="s">
        <v>271</v>
      </c>
      <c r="J118" s="22" t="s">
        <v>774</v>
      </c>
      <c r="K118" s="22">
        <v>5</v>
      </c>
      <c r="L118" s="22">
        <v>39</v>
      </c>
      <c r="M118" s="22">
        <v>39</v>
      </c>
      <c r="N118" s="22">
        <v>32</v>
      </c>
      <c r="O118" s="22">
        <v>83</v>
      </c>
      <c r="P118" s="23">
        <v>1</v>
      </c>
      <c r="Q118" s="22">
        <v>20</v>
      </c>
      <c r="R118" s="22">
        <v>20</v>
      </c>
      <c r="S118" s="22">
        <v>20</v>
      </c>
      <c r="T118" s="23">
        <v>1</v>
      </c>
      <c r="U118" s="22">
        <v>20</v>
      </c>
      <c r="V118" s="22">
        <v>20</v>
      </c>
      <c r="W118" s="22">
        <v>20</v>
      </c>
      <c r="X118" s="22" t="s">
        <v>202</v>
      </c>
      <c r="Y118" s="22" t="s">
        <v>273</v>
      </c>
      <c r="Z118" s="22" t="s">
        <v>51</v>
      </c>
      <c r="AA118" s="22">
        <v>4.0307691133939301</v>
      </c>
      <c r="AB118" s="22">
        <v>0.106153846153845</v>
      </c>
      <c r="AC118" s="22">
        <v>4.4153844980093098</v>
      </c>
      <c r="AD118" s="22">
        <v>0.134615384615386</v>
      </c>
      <c r="AE118" s="22" t="s">
        <v>6</v>
      </c>
      <c r="AF118" s="22" t="s">
        <v>272</v>
      </c>
      <c r="AG118" s="22" t="s">
        <v>6</v>
      </c>
      <c r="AH118" s="30" t="b">
        <v>1</v>
      </c>
      <c r="AI118" s="22" t="s">
        <v>717</v>
      </c>
      <c r="AJ118" s="22" t="s">
        <v>718</v>
      </c>
    </row>
    <row r="119" spans="1:36" x14ac:dyDescent="0.25">
      <c r="A119" s="22" t="s">
        <v>758</v>
      </c>
      <c r="B119" s="22" t="s">
        <v>206</v>
      </c>
      <c r="C119" s="22">
        <v>1</v>
      </c>
      <c r="D119" s="22" t="s">
        <v>614</v>
      </c>
      <c r="E119" s="22" t="s">
        <v>207</v>
      </c>
      <c r="F119" s="22" t="s">
        <v>733</v>
      </c>
      <c r="G119" s="22" t="s">
        <v>6</v>
      </c>
      <c r="H119" s="22" t="s">
        <v>6</v>
      </c>
      <c r="I119" s="22" t="s">
        <v>209</v>
      </c>
      <c r="J119" s="22" t="s">
        <v>24</v>
      </c>
      <c r="K119" s="22" t="s">
        <v>6</v>
      </c>
      <c r="L119" s="22">
        <v>135</v>
      </c>
      <c r="M119" s="22">
        <v>135</v>
      </c>
      <c r="N119" s="22">
        <v>33</v>
      </c>
      <c r="O119" s="22">
        <v>84</v>
      </c>
      <c r="P119" s="23">
        <v>1</v>
      </c>
      <c r="Q119" s="22">
        <v>13</v>
      </c>
      <c r="R119" s="22">
        <v>13</v>
      </c>
      <c r="S119" s="22" t="s">
        <v>6</v>
      </c>
      <c r="T119" s="23">
        <v>1</v>
      </c>
      <c r="U119" s="22">
        <v>6</v>
      </c>
      <c r="V119" s="22">
        <v>6</v>
      </c>
      <c r="W119" s="22" t="s">
        <v>6</v>
      </c>
      <c r="X119" s="22" t="s">
        <v>205</v>
      </c>
      <c r="Y119" s="22" t="s">
        <v>27</v>
      </c>
      <c r="Z119" s="22" t="s">
        <v>6</v>
      </c>
      <c r="AA119" s="22">
        <v>0</v>
      </c>
      <c r="AB119" s="22" t="s">
        <v>6</v>
      </c>
      <c r="AC119" s="22">
        <v>0</v>
      </c>
      <c r="AD119" s="22" t="s">
        <v>6</v>
      </c>
      <c r="AE119" s="22" t="s">
        <v>6</v>
      </c>
      <c r="AF119" s="22" t="s">
        <v>203</v>
      </c>
      <c r="AG119" s="22" t="s">
        <v>6</v>
      </c>
      <c r="AH119" s="30" t="b">
        <v>0</v>
      </c>
      <c r="AI119" s="22" t="s">
        <v>6</v>
      </c>
      <c r="AJ119" s="22" t="s">
        <v>6</v>
      </c>
    </row>
    <row r="120" spans="1:36" x14ac:dyDescent="0.25">
      <c r="A120" s="22" t="s">
        <v>758</v>
      </c>
      <c r="B120" s="22" t="s">
        <v>206</v>
      </c>
      <c r="C120" s="22">
        <v>1</v>
      </c>
      <c r="D120" s="22" t="s">
        <v>614</v>
      </c>
      <c r="E120" s="22" t="s">
        <v>207</v>
      </c>
      <c r="F120" s="22" t="s">
        <v>733</v>
      </c>
      <c r="G120" s="22" t="s">
        <v>6</v>
      </c>
      <c r="H120" s="22" t="s">
        <v>6</v>
      </c>
      <c r="I120" s="22" t="s">
        <v>208</v>
      </c>
      <c r="J120" s="22" t="s">
        <v>24</v>
      </c>
      <c r="K120" s="22" t="s">
        <v>6</v>
      </c>
      <c r="L120" s="22">
        <v>135</v>
      </c>
      <c r="M120" s="22">
        <v>135</v>
      </c>
      <c r="N120" s="22">
        <v>33</v>
      </c>
      <c r="O120" s="22">
        <v>84</v>
      </c>
      <c r="P120" s="23">
        <v>2</v>
      </c>
      <c r="Q120" s="22">
        <v>13</v>
      </c>
      <c r="R120" s="22">
        <v>13</v>
      </c>
      <c r="S120" s="22" t="s">
        <v>6</v>
      </c>
      <c r="T120" s="23">
        <v>1</v>
      </c>
      <c r="U120" s="22">
        <v>6</v>
      </c>
      <c r="V120" s="22">
        <v>6</v>
      </c>
      <c r="W120" s="22" t="s">
        <v>6</v>
      </c>
      <c r="X120" s="22" t="s">
        <v>205</v>
      </c>
      <c r="Y120" s="22" t="s">
        <v>27</v>
      </c>
      <c r="Z120" s="22" t="s">
        <v>6</v>
      </c>
      <c r="AA120" s="22">
        <f>1/13%</f>
        <v>7.6923076923076916</v>
      </c>
      <c r="AB120" s="22" t="s">
        <v>6</v>
      </c>
      <c r="AC120" s="22">
        <v>0</v>
      </c>
      <c r="AD120" s="22" t="s">
        <v>6</v>
      </c>
      <c r="AE120" s="22" t="s">
        <v>6</v>
      </c>
      <c r="AF120" s="22" t="s">
        <v>203</v>
      </c>
      <c r="AG120" s="22" t="s">
        <v>6</v>
      </c>
      <c r="AH120" s="30" t="b">
        <v>0</v>
      </c>
      <c r="AI120" s="22" t="s">
        <v>6</v>
      </c>
      <c r="AJ120" s="22" t="s">
        <v>274</v>
      </c>
    </row>
    <row r="121" spans="1:36" x14ac:dyDescent="0.25">
      <c r="A121" s="22" t="s">
        <v>758</v>
      </c>
      <c r="B121" s="22" t="s">
        <v>206</v>
      </c>
      <c r="C121" s="22">
        <v>1</v>
      </c>
      <c r="D121" s="22" t="s">
        <v>614</v>
      </c>
      <c r="E121" s="22" t="s">
        <v>207</v>
      </c>
      <c r="F121" s="22" t="s">
        <v>733</v>
      </c>
      <c r="G121" s="22" t="s">
        <v>6</v>
      </c>
      <c r="H121" s="22" t="s">
        <v>6</v>
      </c>
      <c r="I121" s="22" t="s">
        <v>209</v>
      </c>
      <c r="J121" s="22" t="s">
        <v>775</v>
      </c>
      <c r="K121" s="22">
        <v>33</v>
      </c>
      <c r="L121" s="22">
        <v>21</v>
      </c>
      <c r="M121" s="22">
        <v>21</v>
      </c>
      <c r="N121" s="22">
        <v>33</v>
      </c>
      <c r="O121" s="22">
        <v>85</v>
      </c>
      <c r="P121" s="23">
        <v>1</v>
      </c>
      <c r="Q121" s="22">
        <v>13</v>
      </c>
      <c r="R121" s="22">
        <v>13</v>
      </c>
      <c r="S121" s="22" t="s">
        <v>6</v>
      </c>
      <c r="T121" s="23">
        <v>1</v>
      </c>
      <c r="U121" s="22">
        <v>6</v>
      </c>
      <c r="V121" s="22">
        <v>6</v>
      </c>
      <c r="W121" s="22" t="s">
        <v>6</v>
      </c>
      <c r="X121" s="22" t="s">
        <v>276</v>
      </c>
      <c r="Y121" s="22" t="s">
        <v>27</v>
      </c>
      <c r="Z121" s="22" t="s">
        <v>6</v>
      </c>
      <c r="AA121" s="22">
        <f>13/13%</f>
        <v>100</v>
      </c>
      <c r="AB121" s="22" t="s">
        <v>6</v>
      </c>
      <c r="AC121" s="22">
        <f>6/6%</f>
        <v>100</v>
      </c>
      <c r="AD121" s="22" t="s">
        <v>6</v>
      </c>
      <c r="AE121" s="22" t="s">
        <v>6</v>
      </c>
      <c r="AF121" s="22" t="s">
        <v>203</v>
      </c>
      <c r="AG121" s="22" t="s">
        <v>6</v>
      </c>
      <c r="AH121" s="30" t="b">
        <v>0</v>
      </c>
      <c r="AI121" s="22" t="s">
        <v>6</v>
      </c>
      <c r="AJ121" s="22" t="s">
        <v>6</v>
      </c>
    </row>
    <row r="122" spans="1:36" x14ac:dyDescent="0.25">
      <c r="A122" s="22" t="s">
        <v>758</v>
      </c>
      <c r="B122" s="22" t="s">
        <v>206</v>
      </c>
      <c r="C122" s="22">
        <v>1</v>
      </c>
      <c r="D122" s="22" t="s">
        <v>614</v>
      </c>
      <c r="E122" s="22" t="s">
        <v>207</v>
      </c>
      <c r="F122" s="22" t="s">
        <v>733</v>
      </c>
      <c r="G122" s="22" t="s">
        <v>6</v>
      </c>
      <c r="H122" s="22" t="s">
        <v>6</v>
      </c>
      <c r="I122" s="22" t="s">
        <v>208</v>
      </c>
      <c r="J122" s="22" t="s">
        <v>775</v>
      </c>
      <c r="K122" s="22">
        <v>33</v>
      </c>
      <c r="L122" s="22">
        <v>28</v>
      </c>
      <c r="M122" s="22">
        <v>21</v>
      </c>
      <c r="N122" s="22">
        <v>33</v>
      </c>
      <c r="O122" s="22">
        <v>85</v>
      </c>
      <c r="P122" s="23">
        <v>2</v>
      </c>
      <c r="Q122" s="22">
        <v>13</v>
      </c>
      <c r="R122" s="22">
        <v>13</v>
      </c>
      <c r="S122" s="22" t="s">
        <v>6</v>
      </c>
      <c r="T122" s="23">
        <v>1</v>
      </c>
      <c r="U122" s="22">
        <v>6</v>
      </c>
      <c r="V122" s="22">
        <v>6</v>
      </c>
      <c r="W122" s="22" t="s">
        <v>6</v>
      </c>
      <c r="X122" s="22" t="s">
        <v>276</v>
      </c>
      <c r="Y122" s="22" t="s">
        <v>27</v>
      </c>
      <c r="Z122" s="22" t="s">
        <v>6</v>
      </c>
      <c r="AA122" s="22">
        <f>13/13%</f>
        <v>100</v>
      </c>
      <c r="AB122" s="22" t="s">
        <v>6</v>
      </c>
      <c r="AC122" s="22">
        <f>6/6%</f>
        <v>100</v>
      </c>
      <c r="AD122" s="22" t="s">
        <v>6</v>
      </c>
      <c r="AE122" s="22" t="s">
        <v>6</v>
      </c>
      <c r="AF122" s="22" t="s">
        <v>203</v>
      </c>
      <c r="AG122" s="22" t="s">
        <v>6</v>
      </c>
      <c r="AH122" s="30" t="b">
        <v>0</v>
      </c>
      <c r="AI122" s="22" t="s">
        <v>6</v>
      </c>
      <c r="AJ122" s="22" t="s">
        <v>6</v>
      </c>
    </row>
    <row r="123" spans="1:36" x14ac:dyDescent="0.25">
      <c r="A123" s="22" t="s">
        <v>758</v>
      </c>
      <c r="B123" s="22" t="s">
        <v>206</v>
      </c>
      <c r="C123" s="22">
        <v>1</v>
      </c>
      <c r="D123" s="22" t="s">
        <v>614</v>
      </c>
      <c r="E123" s="22" t="s">
        <v>207</v>
      </c>
      <c r="F123" s="22" t="s">
        <v>733</v>
      </c>
      <c r="G123" s="22" t="s">
        <v>6</v>
      </c>
      <c r="H123" s="22" t="s">
        <v>6</v>
      </c>
      <c r="I123" s="22" t="s">
        <v>209</v>
      </c>
      <c r="J123" s="22" t="s">
        <v>774</v>
      </c>
      <c r="K123" s="22">
        <v>33</v>
      </c>
      <c r="L123" s="22">
        <v>76.230770000000007</v>
      </c>
      <c r="M123" s="22">
        <v>98</v>
      </c>
      <c r="N123" s="22">
        <v>33</v>
      </c>
      <c r="O123" s="22">
        <v>86</v>
      </c>
      <c r="P123" s="23">
        <v>1</v>
      </c>
      <c r="Q123" s="22">
        <v>13</v>
      </c>
      <c r="R123" s="22">
        <v>13</v>
      </c>
      <c r="S123" s="22">
        <v>13</v>
      </c>
      <c r="T123" s="23">
        <v>1</v>
      </c>
      <c r="U123" s="22">
        <v>6</v>
      </c>
      <c r="V123" s="22">
        <v>6</v>
      </c>
      <c r="W123" s="22">
        <v>6</v>
      </c>
      <c r="X123" s="22" t="s">
        <v>277</v>
      </c>
      <c r="Y123" s="22" t="s">
        <v>278</v>
      </c>
      <c r="Z123" s="22" t="s">
        <v>133</v>
      </c>
      <c r="AA123" s="22">
        <v>9940541</v>
      </c>
      <c r="AB123" s="22">
        <v>10215631</v>
      </c>
      <c r="AC123" s="22">
        <v>11886875</v>
      </c>
      <c r="AD123" s="22">
        <v>7868364</v>
      </c>
      <c r="AE123" s="22" t="s">
        <v>6</v>
      </c>
      <c r="AF123" s="22" t="s">
        <v>203</v>
      </c>
      <c r="AG123" s="22" t="s">
        <v>6</v>
      </c>
      <c r="AH123" s="30" t="b">
        <v>0</v>
      </c>
      <c r="AI123" s="22" t="s">
        <v>6</v>
      </c>
      <c r="AJ123" s="22" t="s">
        <v>6</v>
      </c>
    </row>
    <row r="124" spans="1:36" x14ac:dyDescent="0.25">
      <c r="A124" s="22" t="s">
        <v>758</v>
      </c>
      <c r="B124" s="22" t="s">
        <v>206</v>
      </c>
      <c r="C124" s="22">
        <v>1</v>
      </c>
      <c r="D124" s="22" t="s">
        <v>614</v>
      </c>
      <c r="E124" s="22" t="s">
        <v>207</v>
      </c>
      <c r="F124" s="22" t="s">
        <v>733</v>
      </c>
      <c r="G124" s="22" t="s">
        <v>6</v>
      </c>
      <c r="H124" s="22" t="s">
        <v>6</v>
      </c>
      <c r="I124" s="22" t="s">
        <v>208</v>
      </c>
      <c r="J124" s="22" t="s">
        <v>774</v>
      </c>
      <c r="K124" s="22">
        <v>33</v>
      </c>
      <c r="L124" s="22">
        <v>95</v>
      </c>
      <c r="M124" s="22">
        <v>98</v>
      </c>
      <c r="N124" s="22">
        <v>33</v>
      </c>
      <c r="O124" s="22">
        <v>86</v>
      </c>
      <c r="P124" s="23">
        <v>2</v>
      </c>
      <c r="Q124" s="22">
        <v>13</v>
      </c>
      <c r="R124" s="22">
        <v>13</v>
      </c>
      <c r="S124" s="22">
        <v>13</v>
      </c>
      <c r="T124" s="23">
        <v>1</v>
      </c>
      <c r="U124" s="22">
        <v>6</v>
      </c>
      <c r="V124" s="22">
        <v>6</v>
      </c>
      <c r="W124" s="22">
        <v>6</v>
      </c>
      <c r="X124" s="22" t="s">
        <v>277</v>
      </c>
      <c r="Y124" s="22" t="s">
        <v>278</v>
      </c>
      <c r="Z124" s="22" t="s">
        <v>133</v>
      </c>
      <c r="AA124" s="22">
        <v>22483483</v>
      </c>
      <c r="AB124" s="22">
        <v>26571561</v>
      </c>
      <c r="AC124" s="22">
        <v>11886875</v>
      </c>
      <c r="AD124" s="22">
        <v>7868364</v>
      </c>
      <c r="AE124" s="22" t="s">
        <v>6</v>
      </c>
      <c r="AF124" s="22" t="s">
        <v>203</v>
      </c>
      <c r="AG124" s="22" t="s">
        <v>6</v>
      </c>
      <c r="AH124" s="30" t="b">
        <v>0</v>
      </c>
      <c r="AI124" s="22" t="s">
        <v>6</v>
      </c>
      <c r="AJ124" s="22" t="s">
        <v>6</v>
      </c>
    </row>
    <row r="125" spans="1:36" x14ac:dyDescent="0.25">
      <c r="A125" s="22" t="s">
        <v>758</v>
      </c>
      <c r="B125" s="22" t="s">
        <v>206</v>
      </c>
      <c r="C125" s="22">
        <v>2</v>
      </c>
      <c r="D125" s="22" t="s">
        <v>614</v>
      </c>
      <c r="E125" s="22" t="s">
        <v>207</v>
      </c>
      <c r="F125" s="22" t="s">
        <v>733</v>
      </c>
      <c r="G125" s="22" t="s">
        <v>6</v>
      </c>
      <c r="H125" s="22" t="s">
        <v>6</v>
      </c>
      <c r="I125" s="22" t="s">
        <v>209</v>
      </c>
      <c r="J125" s="22" t="s">
        <v>24</v>
      </c>
      <c r="K125" s="22" t="s">
        <v>6</v>
      </c>
      <c r="L125" s="22">
        <v>135</v>
      </c>
      <c r="M125" s="22">
        <v>135</v>
      </c>
      <c r="N125" s="22">
        <v>34</v>
      </c>
      <c r="O125" s="22">
        <v>87</v>
      </c>
      <c r="P125" s="23">
        <v>1</v>
      </c>
      <c r="Q125" s="22">
        <v>13</v>
      </c>
      <c r="R125" s="22">
        <v>13</v>
      </c>
      <c r="S125" s="22" t="s">
        <v>6</v>
      </c>
      <c r="T125" s="23">
        <v>1</v>
      </c>
      <c r="U125" s="22">
        <v>6</v>
      </c>
      <c r="V125" s="22">
        <v>6</v>
      </c>
      <c r="W125" s="22" t="s">
        <v>6</v>
      </c>
      <c r="X125" s="22" t="s">
        <v>205</v>
      </c>
      <c r="Y125" s="22" t="s">
        <v>27</v>
      </c>
      <c r="Z125" s="22" t="s">
        <v>6</v>
      </c>
      <c r="AA125" s="22">
        <v>0</v>
      </c>
      <c r="AB125" s="22" t="s">
        <v>6</v>
      </c>
      <c r="AC125" s="22">
        <v>0</v>
      </c>
      <c r="AD125" s="22" t="s">
        <v>6</v>
      </c>
      <c r="AE125" s="22" t="s">
        <v>6</v>
      </c>
      <c r="AF125" s="22" t="s">
        <v>203</v>
      </c>
      <c r="AG125" s="22" t="s">
        <v>6</v>
      </c>
      <c r="AH125" s="30" t="b">
        <v>0</v>
      </c>
      <c r="AI125" s="22" t="s">
        <v>6</v>
      </c>
      <c r="AJ125" s="22" t="s">
        <v>6</v>
      </c>
    </row>
    <row r="126" spans="1:36" x14ac:dyDescent="0.25">
      <c r="A126" s="22" t="s">
        <v>758</v>
      </c>
      <c r="B126" s="22" t="s">
        <v>206</v>
      </c>
      <c r="C126" s="22">
        <v>2</v>
      </c>
      <c r="D126" s="22" t="s">
        <v>614</v>
      </c>
      <c r="E126" s="22" t="s">
        <v>207</v>
      </c>
      <c r="F126" s="22" t="s">
        <v>733</v>
      </c>
      <c r="G126" s="22" t="s">
        <v>6</v>
      </c>
      <c r="H126" s="22" t="s">
        <v>6</v>
      </c>
      <c r="I126" s="22" t="s">
        <v>208</v>
      </c>
      <c r="J126" s="22" t="s">
        <v>24</v>
      </c>
      <c r="K126" s="22" t="s">
        <v>6</v>
      </c>
      <c r="L126" s="22">
        <v>135</v>
      </c>
      <c r="M126" s="22">
        <v>135</v>
      </c>
      <c r="N126" s="22">
        <v>34</v>
      </c>
      <c r="O126" s="22">
        <v>87</v>
      </c>
      <c r="P126" s="23">
        <v>2</v>
      </c>
      <c r="Q126" s="22">
        <v>13</v>
      </c>
      <c r="R126" s="22">
        <v>13</v>
      </c>
      <c r="S126" s="22" t="s">
        <v>6</v>
      </c>
      <c r="T126" s="23">
        <v>1</v>
      </c>
      <c r="U126" s="22">
        <v>6</v>
      </c>
      <c r="V126" s="22">
        <v>6</v>
      </c>
      <c r="W126" s="22" t="s">
        <v>6</v>
      </c>
      <c r="X126" s="22" t="s">
        <v>205</v>
      </c>
      <c r="Y126" s="22" t="s">
        <v>27</v>
      </c>
      <c r="Z126" s="22" t="s">
        <v>6</v>
      </c>
      <c r="AA126" s="22">
        <f>1/13%</f>
        <v>7.6923076923076916</v>
      </c>
      <c r="AB126" s="22" t="s">
        <v>6</v>
      </c>
      <c r="AC126" s="22">
        <v>0</v>
      </c>
      <c r="AD126" s="22" t="s">
        <v>6</v>
      </c>
      <c r="AE126" s="22" t="s">
        <v>6</v>
      </c>
      <c r="AF126" s="22" t="s">
        <v>203</v>
      </c>
      <c r="AG126" s="22" t="s">
        <v>6</v>
      </c>
      <c r="AH126" s="30" t="b">
        <v>0</v>
      </c>
      <c r="AI126" s="22" t="s">
        <v>6</v>
      </c>
      <c r="AJ126" s="22" t="s">
        <v>275</v>
      </c>
    </row>
    <row r="127" spans="1:36" x14ac:dyDescent="0.25">
      <c r="A127" s="22" t="s">
        <v>758</v>
      </c>
      <c r="B127" s="22" t="s">
        <v>206</v>
      </c>
      <c r="C127" s="22">
        <v>2</v>
      </c>
      <c r="D127" s="22" t="s">
        <v>614</v>
      </c>
      <c r="E127" s="22" t="s">
        <v>207</v>
      </c>
      <c r="F127" s="22" t="s">
        <v>733</v>
      </c>
      <c r="G127" s="22" t="s">
        <v>6</v>
      </c>
      <c r="H127" s="22" t="s">
        <v>6</v>
      </c>
      <c r="I127" s="22" t="s">
        <v>209</v>
      </c>
      <c r="J127" s="22" t="s">
        <v>775</v>
      </c>
      <c r="K127" s="22">
        <v>33</v>
      </c>
      <c r="L127" s="22">
        <v>35</v>
      </c>
      <c r="M127" s="22">
        <v>30</v>
      </c>
      <c r="N127" s="22">
        <v>34</v>
      </c>
      <c r="O127" s="22">
        <v>88</v>
      </c>
      <c r="P127" s="23">
        <v>1</v>
      </c>
      <c r="Q127" s="22">
        <v>13</v>
      </c>
      <c r="R127" s="22">
        <v>13</v>
      </c>
      <c r="S127" s="22" t="s">
        <v>6</v>
      </c>
      <c r="T127" s="23">
        <v>1</v>
      </c>
      <c r="U127" s="22">
        <v>6</v>
      </c>
      <c r="V127" s="22">
        <v>6</v>
      </c>
      <c r="W127" s="22" t="s">
        <v>6</v>
      </c>
      <c r="X127" s="22" t="s">
        <v>276</v>
      </c>
      <c r="Y127" s="22" t="s">
        <v>27</v>
      </c>
      <c r="Z127" s="22" t="s">
        <v>6</v>
      </c>
      <c r="AA127" s="22">
        <f>13/13%</f>
        <v>100</v>
      </c>
      <c r="AB127" s="22" t="s">
        <v>6</v>
      </c>
      <c r="AC127" s="22">
        <f>6/6%</f>
        <v>100</v>
      </c>
      <c r="AD127" s="22" t="s">
        <v>6</v>
      </c>
      <c r="AE127" s="22" t="s">
        <v>6</v>
      </c>
      <c r="AF127" s="22" t="s">
        <v>203</v>
      </c>
      <c r="AG127" s="22" t="s">
        <v>6</v>
      </c>
      <c r="AH127" s="30" t="b">
        <v>0</v>
      </c>
      <c r="AI127" s="22" t="s">
        <v>6</v>
      </c>
      <c r="AJ127" s="22" t="s">
        <v>6</v>
      </c>
    </row>
    <row r="128" spans="1:36" x14ac:dyDescent="0.25">
      <c r="A128" s="22" t="s">
        <v>758</v>
      </c>
      <c r="B128" s="22" t="s">
        <v>206</v>
      </c>
      <c r="C128" s="22">
        <v>2</v>
      </c>
      <c r="D128" s="22" t="s">
        <v>614</v>
      </c>
      <c r="E128" s="22" t="s">
        <v>207</v>
      </c>
      <c r="F128" s="22" t="s">
        <v>733</v>
      </c>
      <c r="G128" s="22" t="s">
        <v>6</v>
      </c>
      <c r="H128" s="22" t="s">
        <v>6</v>
      </c>
      <c r="I128" s="22" t="s">
        <v>208</v>
      </c>
      <c r="J128" s="22" t="s">
        <v>775</v>
      </c>
      <c r="K128" s="22">
        <v>33</v>
      </c>
      <c r="L128" s="22">
        <v>30</v>
      </c>
      <c r="M128" s="22">
        <v>30</v>
      </c>
      <c r="N128" s="22">
        <v>34</v>
      </c>
      <c r="O128" s="22">
        <v>88</v>
      </c>
      <c r="P128" s="23">
        <v>2</v>
      </c>
      <c r="Q128" s="22">
        <v>13</v>
      </c>
      <c r="R128" s="22">
        <v>13</v>
      </c>
      <c r="S128" s="22" t="s">
        <v>6</v>
      </c>
      <c r="T128" s="23">
        <v>1</v>
      </c>
      <c r="U128" s="22">
        <v>6</v>
      </c>
      <c r="V128" s="22">
        <v>6</v>
      </c>
      <c r="W128" s="22" t="s">
        <v>6</v>
      </c>
      <c r="X128" s="22" t="s">
        <v>276</v>
      </c>
      <c r="Y128" s="22" t="s">
        <v>27</v>
      </c>
      <c r="Z128" s="22" t="s">
        <v>6</v>
      </c>
      <c r="AA128" s="22">
        <f>13/13%</f>
        <v>100</v>
      </c>
      <c r="AB128" s="22" t="s">
        <v>6</v>
      </c>
      <c r="AC128" s="22">
        <f>6/6%</f>
        <v>100</v>
      </c>
      <c r="AD128" s="22" t="s">
        <v>6</v>
      </c>
      <c r="AE128" s="22" t="s">
        <v>6</v>
      </c>
      <c r="AF128" s="22" t="s">
        <v>203</v>
      </c>
      <c r="AG128" s="22" t="s">
        <v>6</v>
      </c>
      <c r="AH128" s="30" t="b">
        <v>0</v>
      </c>
      <c r="AI128" s="22" t="s">
        <v>6</v>
      </c>
      <c r="AJ128" s="22" t="s">
        <v>6</v>
      </c>
    </row>
    <row r="129" spans="1:36" x14ac:dyDescent="0.25">
      <c r="A129" s="22" t="s">
        <v>758</v>
      </c>
      <c r="B129" s="22" t="s">
        <v>206</v>
      </c>
      <c r="C129" s="22">
        <v>2</v>
      </c>
      <c r="D129" s="22" t="s">
        <v>614</v>
      </c>
      <c r="E129" s="22" t="s">
        <v>207</v>
      </c>
      <c r="F129" s="22" t="s">
        <v>733</v>
      </c>
      <c r="G129" s="22" t="s">
        <v>6</v>
      </c>
      <c r="H129" s="22" t="s">
        <v>6</v>
      </c>
      <c r="I129" s="22" t="s">
        <v>209</v>
      </c>
      <c r="J129" s="22" t="s">
        <v>774</v>
      </c>
      <c r="K129" s="22">
        <v>33</v>
      </c>
      <c r="L129" s="22">
        <v>104.46154</v>
      </c>
      <c r="M129" s="22">
        <v>103.83329999999999</v>
      </c>
      <c r="N129" s="22">
        <v>34</v>
      </c>
      <c r="O129" s="22">
        <v>89</v>
      </c>
      <c r="P129" s="23">
        <v>1</v>
      </c>
      <c r="Q129" s="22">
        <v>13</v>
      </c>
      <c r="R129" s="22">
        <v>13</v>
      </c>
      <c r="S129" s="22">
        <v>13</v>
      </c>
      <c r="T129" s="23">
        <v>1</v>
      </c>
      <c r="U129" s="22">
        <v>6</v>
      </c>
      <c r="V129" s="22">
        <v>6</v>
      </c>
      <c r="W129" s="22">
        <v>6</v>
      </c>
      <c r="X129" s="22" t="s">
        <v>277</v>
      </c>
      <c r="Y129" s="22" t="s">
        <v>278</v>
      </c>
      <c r="Z129" s="22" t="s">
        <v>133</v>
      </c>
      <c r="AA129" s="22">
        <v>90693914</v>
      </c>
      <c r="AB129" s="22">
        <v>154645551</v>
      </c>
      <c r="AC129" s="22">
        <v>9968957</v>
      </c>
      <c r="AD129" s="22">
        <v>8031725</v>
      </c>
      <c r="AE129" s="22" t="s">
        <v>6</v>
      </c>
      <c r="AF129" s="22" t="s">
        <v>203</v>
      </c>
      <c r="AG129" s="22" t="s">
        <v>6</v>
      </c>
      <c r="AH129" s="30" t="b">
        <v>0</v>
      </c>
      <c r="AI129" s="22" t="s">
        <v>6</v>
      </c>
      <c r="AJ129" s="22" t="s">
        <v>6</v>
      </c>
    </row>
    <row r="130" spans="1:36" x14ac:dyDescent="0.25">
      <c r="A130" s="22" t="s">
        <v>758</v>
      </c>
      <c r="B130" s="22" t="s">
        <v>206</v>
      </c>
      <c r="C130" s="22">
        <v>2</v>
      </c>
      <c r="D130" s="22" t="s">
        <v>614</v>
      </c>
      <c r="E130" s="22" t="s">
        <v>207</v>
      </c>
      <c r="F130" s="22" t="s">
        <v>733</v>
      </c>
      <c r="G130" s="22" t="s">
        <v>6</v>
      </c>
      <c r="H130" s="22" t="s">
        <v>6</v>
      </c>
      <c r="I130" s="22" t="s">
        <v>208</v>
      </c>
      <c r="J130" s="22" t="s">
        <v>774</v>
      </c>
      <c r="K130" s="22">
        <v>33</v>
      </c>
      <c r="L130" s="22">
        <v>101.76922999999999</v>
      </c>
      <c r="M130" s="22">
        <v>103.83329999999999</v>
      </c>
      <c r="N130" s="22">
        <v>34</v>
      </c>
      <c r="O130" s="22">
        <v>89</v>
      </c>
      <c r="P130" s="23">
        <v>2</v>
      </c>
      <c r="Q130" s="22">
        <v>13</v>
      </c>
      <c r="R130" s="22">
        <v>13</v>
      </c>
      <c r="S130" s="22">
        <v>13</v>
      </c>
      <c r="T130" s="23">
        <v>1</v>
      </c>
      <c r="U130" s="22">
        <v>6</v>
      </c>
      <c r="V130" s="22">
        <v>6</v>
      </c>
      <c r="W130" s="22">
        <v>6</v>
      </c>
      <c r="X130" s="22" t="s">
        <v>277</v>
      </c>
      <c r="Y130" s="22" t="s">
        <v>278</v>
      </c>
      <c r="Z130" s="22" t="s">
        <v>133</v>
      </c>
      <c r="AA130" s="22">
        <v>66076458</v>
      </c>
      <c r="AB130" s="22">
        <v>73562877</v>
      </c>
      <c r="AC130" s="22">
        <v>9968957</v>
      </c>
      <c r="AD130" s="22">
        <v>8031725</v>
      </c>
      <c r="AE130" s="22" t="s">
        <v>6</v>
      </c>
      <c r="AF130" s="22" t="s">
        <v>203</v>
      </c>
      <c r="AG130" s="22" t="s">
        <v>6</v>
      </c>
      <c r="AH130" s="30" t="b">
        <v>0</v>
      </c>
      <c r="AI130" s="22" t="s">
        <v>6</v>
      </c>
      <c r="AJ130" s="22" t="s">
        <v>6</v>
      </c>
    </row>
    <row r="131" spans="1:36" x14ac:dyDescent="0.25">
      <c r="A131" s="22" t="s">
        <v>758</v>
      </c>
      <c r="B131" s="22" t="s">
        <v>401</v>
      </c>
      <c r="C131" s="22">
        <v>1</v>
      </c>
      <c r="D131" s="22" t="s">
        <v>139</v>
      </c>
      <c r="E131" s="22" t="s">
        <v>6</v>
      </c>
      <c r="F131" s="22" t="s">
        <v>6</v>
      </c>
      <c r="G131" s="22" t="s">
        <v>633</v>
      </c>
      <c r="H131" s="22" t="s">
        <v>6</v>
      </c>
      <c r="I131" s="22" t="s">
        <v>271</v>
      </c>
      <c r="J131" s="22" t="s">
        <v>24</v>
      </c>
      <c r="K131" s="22" t="s">
        <v>6</v>
      </c>
      <c r="L131" s="22">
        <v>139</v>
      </c>
      <c r="M131" s="22">
        <v>139</v>
      </c>
      <c r="N131" s="22">
        <v>35</v>
      </c>
      <c r="O131" s="22">
        <v>90</v>
      </c>
      <c r="P131" s="23">
        <v>1</v>
      </c>
      <c r="Q131" s="22">
        <v>6</v>
      </c>
      <c r="R131" s="22">
        <v>6</v>
      </c>
      <c r="S131" s="22" t="s">
        <v>6</v>
      </c>
      <c r="T131" s="23">
        <v>1</v>
      </c>
      <c r="U131" s="22">
        <v>6</v>
      </c>
      <c r="V131" s="22">
        <v>6</v>
      </c>
      <c r="W131" s="22" t="s">
        <v>6</v>
      </c>
      <c r="X131" s="22" t="s">
        <v>205</v>
      </c>
      <c r="Y131" s="22" t="s">
        <v>27</v>
      </c>
      <c r="Z131" s="22" t="s">
        <v>6</v>
      </c>
      <c r="AA131" s="22">
        <v>0</v>
      </c>
      <c r="AB131" s="22" t="s">
        <v>6</v>
      </c>
      <c r="AC131" s="22">
        <f>5/6%</f>
        <v>83.333333333333343</v>
      </c>
      <c r="AD131" s="22" t="s">
        <v>6</v>
      </c>
      <c r="AE131" s="22" t="s">
        <v>6</v>
      </c>
      <c r="AF131" s="22" t="s">
        <v>279</v>
      </c>
      <c r="AG131" s="22" t="s">
        <v>6</v>
      </c>
      <c r="AH131" s="30" t="b">
        <v>0</v>
      </c>
      <c r="AI131" s="22" t="s">
        <v>6</v>
      </c>
      <c r="AJ131" s="22" t="s">
        <v>6</v>
      </c>
    </row>
    <row r="132" spans="1:36" x14ac:dyDescent="0.25">
      <c r="A132" s="22" t="s">
        <v>758</v>
      </c>
      <c r="B132" s="22" t="s">
        <v>401</v>
      </c>
      <c r="C132" s="22">
        <v>1</v>
      </c>
      <c r="D132" s="22" t="s">
        <v>139</v>
      </c>
      <c r="E132" s="22" t="s">
        <v>6</v>
      </c>
      <c r="F132" s="22" t="s">
        <v>6</v>
      </c>
      <c r="G132" s="22" t="s">
        <v>633</v>
      </c>
      <c r="H132" s="22" t="s">
        <v>6</v>
      </c>
      <c r="I132" s="22" t="s">
        <v>271</v>
      </c>
      <c r="J132" s="22" t="s">
        <v>777</v>
      </c>
      <c r="K132" s="22">
        <v>1</v>
      </c>
      <c r="L132" s="22">
        <v>139</v>
      </c>
      <c r="M132" s="22">
        <v>139</v>
      </c>
      <c r="N132" s="22">
        <v>35</v>
      </c>
      <c r="O132" s="22">
        <v>91</v>
      </c>
      <c r="P132" s="23">
        <v>1</v>
      </c>
      <c r="Q132" s="22">
        <v>6</v>
      </c>
      <c r="R132" s="22">
        <v>6</v>
      </c>
      <c r="S132" s="22" t="s">
        <v>6</v>
      </c>
      <c r="T132" s="23">
        <v>1</v>
      </c>
      <c r="U132" s="22">
        <v>1</v>
      </c>
      <c r="V132" s="22">
        <v>1</v>
      </c>
      <c r="W132" s="22" t="s">
        <v>6</v>
      </c>
      <c r="X132" s="22" t="s">
        <v>198</v>
      </c>
      <c r="Y132" s="22" t="s">
        <v>27</v>
      </c>
      <c r="Z132" s="22" t="s">
        <v>6</v>
      </c>
      <c r="AA132" s="22">
        <v>0</v>
      </c>
      <c r="AB132" s="22" t="s">
        <v>6</v>
      </c>
      <c r="AC132" s="22">
        <f>1/1%</f>
        <v>100</v>
      </c>
      <c r="AD132" s="22" t="s">
        <v>6</v>
      </c>
      <c r="AE132" s="22" t="s">
        <v>6</v>
      </c>
      <c r="AF132" s="22" t="s">
        <v>280</v>
      </c>
      <c r="AG132" s="22" t="s">
        <v>6</v>
      </c>
      <c r="AH132" s="30" t="b">
        <v>0</v>
      </c>
      <c r="AI132" s="22" t="s">
        <v>6</v>
      </c>
      <c r="AJ132" s="22" t="s">
        <v>719</v>
      </c>
    </row>
    <row r="133" spans="1:36" x14ac:dyDescent="0.25">
      <c r="A133" s="22" t="s">
        <v>758</v>
      </c>
      <c r="B133" s="22" t="s">
        <v>401</v>
      </c>
      <c r="C133" s="22">
        <v>1</v>
      </c>
      <c r="D133" s="22" t="s">
        <v>139</v>
      </c>
      <c r="E133" s="22" t="s">
        <v>6</v>
      </c>
      <c r="F133" s="22" t="s">
        <v>6</v>
      </c>
      <c r="G133" s="22" t="s">
        <v>633</v>
      </c>
      <c r="H133" s="22" t="s">
        <v>6</v>
      </c>
      <c r="I133" s="22" t="s">
        <v>271</v>
      </c>
      <c r="J133" s="22" t="s">
        <v>774</v>
      </c>
      <c r="K133" s="22">
        <v>3</v>
      </c>
      <c r="L133" s="22">
        <v>139</v>
      </c>
      <c r="M133" s="22">
        <v>139</v>
      </c>
      <c r="N133" s="22">
        <v>35</v>
      </c>
      <c r="O133" s="22">
        <v>92</v>
      </c>
      <c r="P133" s="23">
        <v>1</v>
      </c>
      <c r="Q133" s="22">
        <v>6</v>
      </c>
      <c r="R133" s="22">
        <v>6</v>
      </c>
      <c r="S133" s="22">
        <v>6</v>
      </c>
      <c r="T133" s="23">
        <v>1</v>
      </c>
      <c r="U133" s="22">
        <v>1</v>
      </c>
      <c r="V133" s="22">
        <v>1</v>
      </c>
      <c r="W133" s="22" t="s">
        <v>6</v>
      </c>
      <c r="X133" s="22" t="s">
        <v>201</v>
      </c>
      <c r="Y133" s="22" t="s">
        <v>281</v>
      </c>
      <c r="Z133" s="22" t="s">
        <v>51</v>
      </c>
      <c r="AA133" s="22">
        <v>0</v>
      </c>
      <c r="AB133" s="22">
        <v>0</v>
      </c>
      <c r="AC133" s="22">
        <v>5.0693069309999998</v>
      </c>
      <c r="AD133" s="22" t="s">
        <v>6</v>
      </c>
      <c r="AE133" s="22" t="s">
        <v>6</v>
      </c>
      <c r="AF133" s="22" t="s">
        <v>282</v>
      </c>
      <c r="AG133" s="22" t="s">
        <v>6</v>
      </c>
      <c r="AH133" s="30" t="b">
        <v>1</v>
      </c>
      <c r="AI133" s="22" t="s">
        <v>817</v>
      </c>
      <c r="AJ133" s="22" t="s">
        <v>781</v>
      </c>
    </row>
    <row r="134" spans="1:36" x14ac:dyDescent="0.25">
      <c r="A134" s="22" t="s">
        <v>758</v>
      </c>
      <c r="B134" s="22" t="s">
        <v>283</v>
      </c>
      <c r="C134" s="22">
        <v>1</v>
      </c>
      <c r="D134" s="22" t="s">
        <v>139</v>
      </c>
      <c r="E134" s="22" t="s">
        <v>6</v>
      </c>
      <c r="F134" s="22" t="s">
        <v>6</v>
      </c>
      <c r="G134" s="22" t="s">
        <v>629</v>
      </c>
      <c r="H134" s="22" t="s">
        <v>6</v>
      </c>
      <c r="I134" s="22" t="s">
        <v>625</v>
      </c>
      <c r="J134" s="22" t="s">
        <v>24</v>
      </c>
      <c r="K134" s="22" t="s">
        <v>6</v>
      </c>
      <c r="L134" s="22">
        <v>89.861751152073694</v>
      </c>
      <c r="M134" s="22">
        <v>90.034562211981594</v>
      </c>
      <c r="N134" s="22">
        <v>36</v>
      </c>
      <c r="O134" s="22">
        <v>93</v>
      </c>
      <c r="P134" s="23">
        <v>2</v>
      </c>
      <c r="Q134" s="22">
        <v>17</v>
      </c>
      <c r="R134" s="22">
        <v>17</v>
      </c>
      <c r="S134" s="22" t="s">
        <v>6</v>
      </c>
      <c r="T134" s="23">
        <v>1</v>
      </c>
      <c r="U134" s="22">
        <v>28</v>
      </c>
      <c r="V134" s="22">
        <v>28</v>
      </c>
      <c r="W134" s="22" t="s">
        <v>6</v>
      </c>
      <c r="X134" s="22" t="s">
        <v>205</v>
      </c>
      <c r="Y134" s="22" t="s">
        <v>27</v>
      </c>
      <c r="Z134" s="22" t="s">
        <v>6</v>
      </c>
      <c r="AA134" s="22">
        <v>93.005181347150199</v>
      </c>
      <c r="AB134" s="22" t="s">
        <v>6</v>
      </c>
      <c r="AC134" s="22">
        <v>95.077720207253904</v>
      </c>
      <c r="AD134" s="22" t="s">
        <v>6</v>
      </c>
      <c r="AE134" s="22" t="s">
        <v>6</v>
      </c>
      <c r="AF134" s="22" t="s">
        <v>284</v>
      </c>
      <c r="AG134" s="22" t="s">
        <v>6</v>
      </c>
      <c r="AH134" s="30" t="b">
        <v>0</v>
      </c>
      <c r="AI134" s="22" t="s">
        <v>6</v>
      </c>
      <c r="AJ134" s="22" t="s">
        <v>6</v>
      </c>
    </row>
    <row r="135" spans="1:36" x14ac:dyDescent="0.25">
      <c r="A135" s="22" t="s">
        <v>758</v>
      </c>
      <c r="B135" s="22" t="s">
        <v>283</v>
      </c>
      <c r="C135" s="22">
        <v>1</v>
      </c>
      <c r="D135" s="22" t="s">
        <v>139</v>
      </c>
      <c r="E135" s="22" t="s">
        <v>6</v>
      </c>
      <c r="F135" s="22" t="s">
        <v>6</v>
      </c>
      <c r="G135" s="22" t="s">
        <v>629</v>
      </c>
      <c r="H135" s="22" t="s">
        <v>6</v>
      </c>
      <c r="I135" s="22" t="s">
        <v>625</v>
      </c>
      <c r="J135" s="22" t="s">
        <v>776</v>
      </c>
      <c r="K135" s="22">
        <v>3</v>
      </c>
      <c r="L135" s="22">
        <v>28</v>
      </c>
      <c r="M135" s="22">
        <v>28</v>
      </c>
      <c r="N135" s="22">
        <v>36</v>
      </c>
      <c r="O135" s="22">
        <v>94</v>
      </c>
      <c r="P135" s="23">
        <v>2</v>
      </c>
      <c r="Q135" s="22">
        <v>17</v>
      </c>
      <c r="R135" s="22">
        <v>17</v>
      </c>
      <c r="S135" s="22" t="s">
        <v>6</v>
      </c>
      <c r="T135" s="23">
        <v>1</v>
      </c>
      <c r="U135" s="22">
        <v>28</v>
      </c>
      <c r="V135" s="22">
        <v>28</v>
      </c>
      <c r="W135" s="22" t="s">
        <v>6</v>
      </c>
      <c r="X135" s="22" t="s">
        <v>302</v>
      </c>
      <c r="Y135" s="22" t="s">
        <v>27</v>
      </c>
      <c r="Z135" s="22" t="s">
        <v>6</v>
      </c>
      <c r="AA135" s="22">
        <v>100</v>
      </c>
      <c r="AB135" s="22" t="s">
        <v>6</v>
      </c>
      <c r="AC135" s="22">
        <v>100</v>
      </c>
      <c r="AD135" s="22" t="s">
        <v>6</v>
      </c>
      <c r="AE135" s="22" t="s">
        <v>6</v>
      </c>
      <c r="AF135" s="22" t="s">
        <v>285</v>
      </c>
      <c r="AG135" s="22" t="s">
        <v>6</v>
      </c>
      <c r="AH135" s="30" t="b">
        <v>0</v>
      </c>
      <c r="AI135" s="22" t="s">
        <v>6</v>
      </c>
      <c r="AJ135" s="22" t="s">
        <v>286</v>
      </c>
    </row>
    <row r="136" spans="1:36" x14ac:dyDescent="0.25">
      <c r="A136" s="22" t="s">
        <v>758</v>
      </c>
      <c r="B136" s="22" t="s">
        <v>283</v>
      </c>
      <c r="C136" s="22">
        <v>1</v>
      </c>
      <c r="D136" s="22" t="s">
        <v>139</v>
      </c>
      <c r="E136" s="22" t="s">
        <v>6</v>
      </c>
      <c r="F136" s="22" t="s">
        <v>6</v>
      </c>
      <c r="G136" s="22" t="s">
        <v>629</v>
      </c>
      <c r="H136" s="22" t="s">
        <v>6</v>
      </c>
      <c r="I136" s="22" t="s">
        <v>625</v>
      </c>
      <c r="J136" s="22" t="s">
        <v>774</v>
      </c>
      <c r="K136" s="22">
        <v>3</v>
      </c>
      <c r="L136" s="22">
        <v>56</v>
      </c>
      <c r="M136" s="22">
        <v>56</v>
      </c>
      <c r="N136" s="22">
        <v>36</v>
      </c>
      <c r="O136" s="22">
        <v>95</v>
      </c>
      <c r="P136" s="23">
        <v>2</v>
      </c>
      <c r="Q136" s="24">
        <f>17*(1-0.22538861)</f>
        <v>13.168393630000001</v>
      </c>
      <c r="R136" s="24">
        <f>17*(1-0.22538861)</f>
        <v>13.168393630000001</v>
      </c>
      <c r="S136" s="24">
        <f>17*(1-0.22538861)</f>
        <v>13.168393630000001</v>
      </c>
      <c r="T136" s="23">
        <v>1</v>
      </c>
      <c r="U136" s="24">
        <f xml:space="preserve"> 28*(1-0.21761659)</f>
        <v>21.906735480000002</v>
      </c>
      <c r="V136" s="24">
        <f xml:space="preserve"> 28*(1-0.21761659)</f>
        <v>21.906735480000002</v>
      </c>
      <c r="W136" s="24">
        <f xml:space="preserve"> 28*(1-0.21761659)</f>
        <v>21.906735480000002</v>
      </c>
      <c r="X136" s="22" t="s">
        <v>169</v>
      </c>
      <c r="Y136" s="22" t="s">
        <v>288</v>
      </c>
      <c r="Z136" s="22" t="s">
        <v>51</v>
      </c>
      <c r="AA136" s="22">
        <v>4.5346062052505998</v>
      </c>
      <c r="AB136" s="22">
        <v>4.0095465393794703</v>
      </c>
      <c r="AC136" s="22">
        <v>4.8687350835322203</v>
      </c>
      <c r="AD136" s="22">
        <v>4.4868735083532201</v>
      </c>
      <c r="AE136" s="22" t="s">
        <v>6</v>
      </c>
      <c r="AF136" s="22" t="s">
        <v>289</v>
      </c>
      <c r="AG136" s="22" t="s">
        <v>6</v>
      </c>
      <c r="AH136" s="30" t="b">
        <v>1</v>
      </c>
      <c r="AI136" s="22" t="s">
        <v>720</v>
      </c>
      <c r="AJ136" s="22" t="s">
        <v>287</v>
      </c>
    </row>
    <row r="137" spans="1:36" x14ac:dyDescent="0.25">
      <c r="A137" s="22" t="s">
        <v>758</v>
      </c>
      <c r="B137" s="22" t="s">
        <v>290</v>
      </c>
      <c r="C137" s="22">
        <v>1</v>
      </c>
      <c r="D137" s="22" t="s">
        <v>614</v>
      </c>
      <c r="E137" s="22" t="s">
        <v>291</v>
      </c>
      <c r="F137" s="22" t="s">
        <v>733</v>
      </c>
      <c r="G137" s="22" t="s">
        <v>6</v>
      </c>
      <c r="H137" s="22" t="s">
        <v>6</v>
      </c>
      <c r="I137" s="22" t="s">
        <v>293</v>
      </c>
      <c r="J137" s="22" t="s">
        <v>24</v>
      </c>
      <c r="K137" s="22" t="s">
        <v>6</v>
      </c>
      <c r="L137" s="22">
        <v>108</v>
      </c>
      <c r="M137" s="22">
        <v>108</v>
      </c>
      <c r="N137" s="22">
        <v>37</v>
      </c>
      <c r="O137" s="22">
        <v>96</v>
      </c>
      <c r="P137" s="23">
        <v>1</v>
      </c>
      <c r="Q137" s="22">
        <v>20</v>
      </c>
      <c r="R137" s="22">
        <v>20</v>
      </c>
      <c r="S137" s="22" t="s">
        <v>6</v>
      </c>
      <c r="T137" s="23">
        <v>1</v>
      </c>
      <c r="U137" s="22">
        <v>20</v>
      </c>
      <c r="V137" s="22">
        <v>20</v>
      </c>
      <c r="W137" s="22" t="s">
        <v>6</v>
      </c>
      <c r="X137" s="22" t="s">
        <v>292</v>
      </c>
      <c r="Y137" s="22" t="s">
        <v>27</v>
      </c>
      <c r="Z137" s="22" t="s">
        <v>6</v>
      </c>
      <c r="AA137" s="22">
        <v>40</v>
      </c>
      <c r="AB137" s="22" t="s">
        <v>6</v>
      </c>
      <c r="AC137" s="22">
        <v>35</v>
      </c>
      <c r="AD137" s="22" t="s">
        <v>6</v>
      </c>
      <c r="AE137" s="22" t="s">
        <v>294</v>
      </c>
      <c r="AF137" s="22" t="s">
        <v>248</v>
      </c>
      <c r="AG137" s="22" t="s">
        <v>6</v>
      </c>
      <c r="AH137" s="30" t="b">
        <v>0</v>
      </c>
      <c r="AI137" s="22" t="s">
        <v>6</v>
      </c>
      <c r="AJ137" s="22" t="s">
        <v>6</v>
      </c>
    </row>
    <row r="138" spans="1:36" x14ac:dyDescent="0.25">
      <c r="A138" s="22" t="s">
        <v>758</v>
      </c>
      <c r="B138" s="22" t="s">
        <v>290</v>
      </c>
      <c r="C138" s="22">
        <v>1</v>
      </c>
      <c r="D138" s="22" t="s">
        <v>614</v>
      </c>
      <c r="E138" s="22" t="s">
        <v>291</v>
      </c>
      <c r="F138" s="22" t="s">
        <v>733</v>
      </c>
      <c r="G138" s="22" t="s">
        <v>6</v>
      </c>
      <c r="H138" s="22" t="s">
        <v>6</v>
      </c>
      <c r="I138" s="22" t="s">
        <v>293</v>
      </c>
      <c r="J138" s="22" t="s">
        <v>776</v>
      </c>
      <c r="K138" s="22">
        <v>15</v>
      </c>
      <c r="L138" s="22">
        <f>108/2</f>
        <v>54</v>
      </c>
      <c r="M138" s="22">
        <f>108/2</f>
        <v>54</v>
      </c>
      <c r="N138" s="22">
        <v>37</v>
      </c>
      <c r="O138" s="22">
        <v>97</v>
      </c>
      <c r="P138" s="23">
        <v>1</v>
      </c>
      <c r="Q138" s="22">
        <v>20</v>
      </c>
      <c r="R138" s="22">
        <v>20</v>
      </c>
      <c r="S138" s="22" t="s">
        <v>6</v>
      </c>
      <c r="T138" s="23">
        <v>1</v>
      </c>
      <c r="U138" s="22">
        <v>20</v>
      </c>
      <c r="V138" s="22">
        <v>20</v>
      </c>
      <c r="W138" s="22" t="s">
        <v>6</v>
      </c>
      <c r="X138" s="22" t="s">
        <v>295</v>
      </c>
      <c r="Y138" s="22" t="s">
        <v>27</v>
      </c>
      <c r="Z138" s="22" t="s">
        <v>6</v>
      </c>
      <c r="AA138" s="22">
        <v>75</v>
      </c>
      <c r="AB138" s="22" t="s">
        <v>6</v>
      </c>
      <c r="AC138" s="22">
        <v>90</v>
      </c>
      <c r="AD138" s="22" t="s">
        <v>6</v>
      </c>
      <c r="AE138" s="22" t="s">
        <v>605</v>
      </c>
      <c r="AF138" s="22" t="s">
        <v>248</v>
      </c>
      <c r="AG138" s="22" t="s">
        <v>6</v>
      </c>
      <c r="AH138" s="30" t="b">
        <v>0</v>
      </c>
      <c r="AI138" s="22" t="s">
        <v>6</v>
      </c>
      <c r="AJ138" s="22" t="s">
        <v>721</v>
      </c>
    </row>
    <row r="139" spans="1:36" x14ac:dyDescent="0.25">
      <c r="A139" s="22" t="s">
        <v>758</v>
      </c>
      <c r="B139" s="22" t="s">
        <v>290</v>
      </c>
      <c r="C139" s="22">
        <v>1</v>
      </c>
      <c r="D139" s="22" t="s">
        <v>614</v>
      </c>
      <c r="E139" s="22" t="s">
        <v>291</v>
      </c>
      <c r="F139" s="22" t="s">
        <v>733</v>
      </c>
      <c r="G139" s="22" t="s">
        <v>6</v>
      </c>
      <c r="H139" s="22" t="s">
        <v>6</v>
      </c>
      <c r="I139" s="22" t="s">
        <v>293</v>
      </c>
      <c r="J139" s="22" t="s">
        <v>774</v>
      </c>
      <c r="K139" s="22">
        <v>15</v>
      </c>
      <c r="L139" s="22">
        <f>108/2</f>
        <v>54</v>
      </c>
      <c r="M139" s="22">
        <f>108/2</f>
        <v>54</v>
      </c>
      <c r="N139" s="22">
        <v>37</v>
      </c>
      <c r="O139" s="22">
        <v>98</v>
      </c>
      <c r="P139" s="23">
        <v>1</v>
      </c>
      <c r="Q139" s="22">
        <v>20</v>
      </c>
      <c r="R139" s="22">
        <v>20</v>
      </c>
      <c r="S139" s="22">
        <v>20</v>
      </c>
      <c r="T139" s="23">
        <v>1</v>
      </c>
      <c r="U139" s="22">
        <v>20</v>
      </c>
      <c r="V139" s="22">
        <v>20</v>
      </c>
      <c r="W139" s="22">
        <v>20</v>
      </c>
      <c r="X139" s="22" t="s">
        <v>296</v>
      </c>
      <c r="Y139" s="22" t="s">
        <v>297</v>
      </c>
      <c r="Z139" s="22" t="s">
        <v>51</v>
      </c>
      <c r="AA139" s="22">
        <v>53990</v>
      </c>
      <c r="AB139" s="22">
        <v>78843</v>
      </c>
      <c r="AC139" s="22">
        <v>17831</v>
      </c>
      <c r="AD139" s="22">
        <v>12922</v>
      </c>
      <c r="AE139" s="22" t="s">
        <v>605</v>
      </c>
      <c r="AF139" s="22" t="s">
        <v>248</v>
      </c>
      <c r="AG139" s="22" t="s">
        <v>6</v>
      </c>
      <c r="AH139" s="30" t="b">
        <v>0</v>
      </c>
      <c r="AI139" s="22" t="s">
        <v>6</v>
      </c>
      <c r="AJ139" s="22" t="s">
        <v>722</v>
      </c>
    </row>
    <row r="140" spans="1:36" x14ac:dyDescent="0.25">
      <c r="A140" s="22" t="s">
        <v>758</v>
      </c>
      <c r="B140" s="22" t="s">
        <v>306</v>
      </c>
      <c r="C140" s="22">
        <v>1</v>
      </c>
      <c r="D140" s="22" t="s">
        <v>139</v>
      </c>
      <c r="E140" s="22" t="s">
        <v>6</v>
      </c>
      <c r="F140" s="22" t="s">
        <v>6</v>
      </c>
      <c r="G140" s="22" t="s">
        <v>815</v>
      </c>
      <c r="H140" s="22" t="s">
        <v>6</v>
      </c>
      <c r="I140" s="22" t="s">
        <v>301</v>
      </c>
      <c r="J140" s="22" t="s">
        <v>776</v>
      </c>
      <c r="K140" s="22">
        <v>2</v>
      </c>
      <c r="L140" s="22">
        <v>12</v>
      </c>
      <c r="M140" s="22">
        <v>12</v>
      </c>
      <c r="N140" s="22">
        <v>38</v>
      </c>
      <c r="O140" s="22">
        <v>99</v>
      </c>
      <c r="P140" s="23">
        <v>1</v>
      </c>
      <c r="Q140" s="22">
        <v>10</v>
      </c>
      <c r="R140" s="22">
        <v>10</v>
      </c>
      <c r="S140" s="22" t="s">
        <v>6</v>
      </c>
      <c r="T140" s="23">
        <v>1</v>
      </c>
      <c r="U140" s="22">
        <v>7</v>
      </c>
      <c r="V140" s="22">
        <v>7</v>
      </c>
      <c r="W140" s="22" t="s">
        <v>6</v>
      </c>
      <c r="X140" s="22" t="s">
        <v>302</v>
      </c>
      <c r="Y140" s="22" t="s">
        <v>27</v>
      </c>
      <c r="Z140" s="22" t="s">
        <v>6</v>
      </c>
      <c r="AA140" s="22">
        <v>60</v>
      </c>
      <c r="AB140" s="22" t="s">
        <v>6</v>
      </c>
      <c r="AC140" s="22">
        <v>100</v>
      </c>
      <c r="AD140" s="22" t="s">
        <v>6</v>
      </c>
      <c r="AE140" s="22" t="s">
        <v>6</v>
      </c>
      <c r="AF140" s="22" t="s">
        <v>307</v>
      </c>
      <c r="AG140" s="22" t="s">
        <v>6</v>
      </c>
      <c r="AH140" s="30" t="b">
        <v>0</v>
      </c>
      <c r="AI140" s="22" t="s">
        <v>6</v>
      </c>
      <c r="AJ140" s="22" t="s">
        <v>768</v>
      </c>
    </row>
    <row r="141" spans="1:36" x14ac:dyDescent="0.25">
      <c r="A141" s="22" t="s">
        <v>758</v>
      </c>
      <c r="B141" s="22" t="s">
        <v>306</v>
      </c>
      <c r="C141" s="22">
        <v>1</v>
      </c>
      <c r="D141" s="22" t="s">
        <v>139</v>
      </c>
      <c r="E141" s="22" t="s">
        <v>6</v>
      </c>
      <c r="F141" s="22" t="s">
        <v>6</v>
      </c>
      <c r="G141" s="22" t="s">
        <v>815</v>
      </c>
      <c r="H141" s="22" t="s">
        <v>6</v>
      </c>
      <c r="I141" s="22" t="s">
        <v>301</v>
      </c>
      <c r="J141" s="22" t="s">
        <v>774</v>
      </c>
      <c r="K141" s="22">
        <v>2</v>
      </c>
      <c r="L141" s="22">
        <v>15</v>
      </c>
      <c r="M141" s="22">
        <v>15</v>
      </c>
      <c r="N141" s="22">
        <v>38</v>
      </c>
      <c r="O141" s="22">
        <v>100</v>
      </c>
      <c r="P141" s="23">
        <v>1</v>
      </c>
      <c r="Q141" s="22">
        <v>6</v>
      </c>
      <c r="R141" s="22">
        <v>6</v>
      </c>
      <c r="S141" s="22">
        <v>6</v>
      </c>
      <c r="T141" s="23">
        <v>1</v>
      </c>
      <c r="U141" s="22">
        <v>7</v>
      </c>
      <c r="V141" s="22">
        <v>7</v>
      </c>
      <c r="W141" s="22">
        <v>7</v>
      </c>
      <c r="X141" s="22" t="s">
        <v>303</v>
      </c>
      <c r="Y141" s="22" t="s">
        <v>304</v>
      </c>
      <c r="Z141" s="22" t="s">
        <v>51</v>
      </c>
      <c r="AA141" s="22">
        <v>2672.6</v>
      </c>
      <c r="AB141" s="22">
        <v>666.8</v>
      </c>
      <c r="AC141" s="22">
        <v>6581.3</v>
      </c>
      <c r="AD141" s="22">
        <v>2311.9</v>
      </c>
      <c r="AE141" s="22" t="s">
        <v>6</v>
      </c>
      <c r="AF141" s="22" t="s">
        <v>307</v>
      </c>
      <c r="AG141" s="22" t="s">
        <v>6</v>
      </c>
      <c r="AH141" s="30" t="s">
        <v>671</v>
      </c>
      <c r="AI141" s="22" t="s">
        <v>627</v>
      </c>
      <c r="AJ141" s="22" t="s">
        <v>769</v>
      </c>
    </row>
    <row r="142" spans="1:36" x14ac:dyDescent="0.25">
      <c r="A142" s="22" t="s">
        <v>758</v>
      </c>
      <c r="B142" s="22" t="s">
        <v>306</v>
      </c>
      <c r="C142" s="22">
        <v>1</v>
      </c>
      <c r="D142" s="22" t="s">
        <v>139</v>
      </c>
      <c r="E142" s="22" t="s">
        <v>6</v>
      </c>
      <c r="F142" s="22" t="s">
        <v>6</v>
      </c>
      <c r="G142" s="22" t="s">
        <v>815</v>
      </c>
      <c r="H142" s="22" t="s">
        <v>6</v>
      </c>
      <c r="I142" s="22" t="s">
        <v>301</v>
      </c>
      <c r="J142" s="22" t="s">
        <v>24</v>
      </c>
      <c r="K142" s="22" t="s">
        <v>6</v>
      </c>
      <c r="L142" s="22">
        <v>15</v>
      </c>
      <c r="M142" s="22">
        <v>15</v>
      </c>
      <c r="N142" s="22">
        <v>38</v>
      </c>
      <c r="O142" s="22">
        <v>101</v>
      </c>
      <c r="P142" s="23">
        <v>1</v>
      </c>
      <c r="Q142" s="22">
        <v>10</v>
      </c>
      <c r="R142" s="22">
        <v>10</v>
      </c>
      <c r="S142" s="22" t="s">
        <v>6</v>
      </c>
      <c r="T142" s="23">
        <v>1</v>
      </c>
      <c r="U142" s="22">
        <v>7</v>
      </c>
      <c r="V142" s="22">
        <v>7</v>
      </c>
      <c r="W142" s="22" t="s">
        <v>6</v>
      </c>
      <c r="X142" s="22" t="s">
        <v>205</v>
      </c>
      <c r="Y142" s="22" t="s">
        <v>27</v>
      </c>
      <c r="Z142" s="22" t="s">
        <v>6</v>
      </c>
      <c r="AA142" s="22">
        <v>0</v>
      </c>
      <c r="AB142" s="22" t="s">
        <v>6</v>
      </c>
      <c r="AC142" s="22">
        <v>0</v>
      </c>
      <c r="AD142" s="22" t="s">
        <v>6</v>
      </c>
      <c r="AE142" s="22" t="s">
        <v>6</v>
      </c>
      <c r="AF142" s="22" t="s">
        <v>308</v>
      </c>
      <c r="AG142" s="22" t="s">
        <v>6</v>
      </c>
      <c r="AH142" s="30" t="b">
        <v>0</v>
      </c>
      <c r="AI142" s="22" t="s">
        <v>6</v>
      </c>
      <c r="AJ142" s="22" t="s">
        <v>770</v>
      </c>
    </row>
    <row r="143" spans="1:36" x14ac:dyDescent="0.25">
      <c r="A143" s="22" t="s">
        <v>758</v>
      </c>
      <c r="B143" s="22" t="s">
        <v>309</v>
      </c>
      <c r="C143" s="22">
        <v>1</v>
      </c>
      <c r="D143" s="22" t="s">
        <v>161</v>
      </c>
      <c r="E143" s="22" t="s">
        <v>310</v>
      </c>
      <c r="F143" s="22" t="s">
        <v>733</v>
      </c>
      <c r="G143" s="22" t="s">
        <v>6</v>
      </c>
      <c r="H143" s="22" t="s">
        <v>6</v>
      </c>
      <c r="I143" s="22" t="s">
        <v>6</v>
      </c>
      <c r="J143" s="22" t="s">
        <v>24</v>
      </c>
      <c r="K143" s="22" t="s">
        <v>6</v>
      </c>
      <c r="L143" s="22">
        <v>14</v>
      </c>
      <c r="M143" s="22">
        <v>14</v>
      </c>
      <c r="N143" s="22">
        <v>39</v>
      </c>
      <c r="O143" s="22">
        <v>102</v>
      </c>
      <c r="P143" s="23">
        <v>1</v>
      </c>
      <c r="Q143" s="22">
        <v>7</v>
      </c>
      <c r="R143" s="22">
        <v>7</v>
      </c>
      <c r="S143" s="22" t="s">
        <v>6</v>
      </c>
      <c r="T143" s="23">
        <v>1</v>
      </c>
      <c r="U143" s="22">
        <v>15</v>
      </c>
      <c r="V143" s="22">
        <v>15</v>
      </c>
      <c r="W143" s="22" t="s">
        <v>6</v>
      </c>
      <c r="X143" s="22" t="s">
        <v>205</v>
      </c>
      <c r="Y143" s="22" t="s">
        <v>27</v>
      </c>
      <c r="Z143" s="22" t="s">
        <v>6</v>
      </c>
      <c r="AA143" s="22">
        <v>0</v>
      </c>
      <c r="AB143" s="22" t="s">
        <v>6</v>
      </c>
      <c r="AC143" s="22">
        <v>0</v>
      </c>
      <c r="AD143" s="22" t="s">
        <v>6</v>
      </c>
      <c r="AE143" s="22" t="s">
        <v>311</v>
      </c>
      <c r="AF143" s="22" t="s">
        <v>324</v>
      </c>
      <c r="AG143" s="22" t="s">
        <v>325</v>
      </c>
      <c r="AH143" s="30" t="b">
        <v>0</v>
      </c>
      <c r="AI143" s="22" t="s">
        <v>6</v>
      </c>
      <c r="AJ143" s="22" t="s">
        <v>338</v>
      </c>
    </row>
    <row r="144" spans="1:36" x14ac:dyDescent="0.25">
      <c r="A144" s="22" t="s">
        <v>758</v>
      </c>
      <c r="B144" s="22" t="s">
        <v>309</v>
      </c>
      <c r="C144" s="22">
        <v>1</v>
      </c>
      <c r="D144" s="22" t="s">
        <v>161</v>
      </c>
      <c r="E144" s="22" t="s">
        <v>310</v>
      </c>
      <c r="F144" s="22" t="s">
        <v>733</v>
      </c>
      <c r="G144" s="22" t="s">
        <v>6</v>
      </c>
      <c r="H144" s="22" t="s">
        <v>6</v>
      </c>
      <c r="I144" s="22" t="s">
        <v>6</v>
      </c>
      <c r="J144" s="22" t="s">
        <v>24</v>
      </c>
      <c r="K144" s="22" t="s">
        <v>6</v>
      </c>
      <c r="L144" s="22">
        <v>14</v>
      </c>
      <c r="M144" s="22">
        <v>14</v>
      </c>
      <c r="N144" s="22">
        <v>39</v>
      </c>
      <c r="O144" s="22">
        <v>102</v>
      </c>
      <c r="P144" s="23">
        <v>2</v>
      </c>
      <c r="Q144" s="22">
        <v>6</v>
      </c>
      <c r="R144" s="22">
        <v>6</v>
      </c>
      <c r="S144" s="22" t="s">
        <v>6</v>
      </c>
      <c r="T144" s="23">
        <v>1</v>
      </c>
      <c r="U144" s="22">
        <v>15</v>
      </c>
      <c r="V144" s="22">
        <v>15</v>
      </c>
      <c r="W144" s="22" t="s">
        <v>6</v>
      </c>
      <c r="X144" s="22" t="s">
        <v>205</v>
      </c>
      <c r="Y144" s="22" t="s">
        <v>27</v>
      </c>
      <c r="Z144" s="22" t="s">
        <v>6</v>
      </c>
      <c r="AA144" s="22">
        <v>0</v>
      </c>
      <c r="AB144" s="22" t="s">
        <v>6</v>
      </c>
      <c r="AC144" s="22">
        <v>0</v>
      </c>
      <c r="AD144" s="22" t="s">
        <v>6</v>
      </c>
      <c r="AE144" s="22" t="s">
        <v>312</v>
      </c>
      <c r="AF144" s="22" t="s">
        <v>324</v>
      </c>
      <c r="AG144" s="22" t="s">
        <v>325</v>
      </c>
      <c r="AH144" s="30" t="b">
        <v>0</v>
      </c>
      <c r="AI144" s="22" t="s">
        <v>6</v>
      </c>
      <c r="AJ144" s="22" t="s">
        <v>338</v>
      </c>
    </row>
    <row r="145" spans="1:36" x14ac:dyDescent="0.25">
      <c r="A145" s="22" t="s">
        <v>758</v>
      </c>
      <c r="B145" s="22" t="s">
        <v>309</v>
      </c>
      <c r="C145" s="22">
        <v>1</v>
      </c>
      <c r="D145" s="22" t="s">
        <v>161</v>
      </c>
      <c r="E145" s="22" t="s">
        <v>310</v>
      </c>
      <c r="F145" s="22" t="s">
        <v>733</v>
      </c>
      <c r="G145" s="22" t="s">
        <v>6</v>
      </c>
      <c r="H145" s="22" t="s">
        <v>6</v>
      </c>
      <c r="I145" s="22" t="s">
        <v>6</v>
      </c>
      <c r="J145" s="22" t="s">
        <v>24</v>
      </c>
      <c r="K145" s="22" t="s">
        <v>6</v>
      </c>
      <c r="L145" s="22">
        <v>14</v>
      </c>
      <c r="M145" s="22">
        <v>14</v>
      </c>
      <c r="N145" s="22">
        <v>39</v>
      </c>
      <c r="O145" s="22">
        <v>102</v>
      </c>
      <c r="P145" s="23">
        <v>3</v>
      </c>
      <c r="Q145" s="22">
        <v>6</v>
      </c>
      <c r="R145" s="22">
        <v>6</v>
      </c>
      <c r="S145" s="22" t="s">
        <v>6</v>
      </c>
      <c r="T145" s="23">
        <v>1</v>
      </c>
      <c r="U145" s="22">
        <v>15</v>
      </c>
      <c r="V145" s="22">
        <v>15</v>
      </c>
      <c r="W145" s="22" t="s">
        <v>6</v>
      </c>
      <c r="X145" s="22" t="s">
        <v>205</v>
      </c>
      <c r="Y145" s="22" t="s">
        <v>27</v>
      </c>
      <c r="Z145" s="22" t="s">
        <v>6</v>
      </c>
      <c r="AA145" s="22">
        <v>0</v>
      </c>
      <c r="AB145" s="22" t="s">
        <v>6</v>
      </c>
      <c r="AC145" s="22">
        <v>0</v>
      </c>
      <c r="AD145" s="22" t="s">
        <v>6</v>
      </c>
      <c r="AE145" s="22" t="s">
        <v>313</v>
      </c>
      <c r="AF145" s="22" t="s">
        <v>324</v>
      </c>
      <c r="AG145" s="22" t="s">
        <v>325</v>
      </c>
      <c r="AH145" s="30" t="b">
        <v>0</v>
      </c>
      <c r="AI145" s="22" t="s">
        <v>6</v>
      </c>
      <c r="AJ145" s="22" t="s">
        <v>338</v>
      </c>
    </row>
    <row r="146" spans="1:36" x14ac:dyDescent="0.25">
      <c r="A146" s="22" t="s">
        <v>758</v>
      </c>
      <c r="B146" s="22" t="s">
        <v>309</v>
      </c>
      <c r="C146" s="22">
        <v>1</v>
      </c>
      <c r="D146" s="22" t="s">
        <v>161</v>
      </c>
      <c r="E146" s="22" t="s">
        <v>310</v>
      </c>
      <c r="F146" s="22" t="s">
        <v>733</v>
      </c>
      <c r="G146" s="22" t="s">
        <v>6</v>
      </c>
      <c r="H146" s="22" t="s">
        <v>6</v>
      </c>
      <c r="I146" s="22" t="s">
        <v>6</v>
      </c>
      <c r="J146" s="22" t="s">
        <v>24</v>
      </c>
      <c r="K146" s="22" t="s">
        <v>6</v>
      </c>
      <c r="L146" s="22">
        <v>14</v>
      </c>
      <c r="M146" s="22">
        <v>14</v>
      </c>
      <c r="N146" s="22">
        <v>39</v>
      </c>
      <c r="O146" s="22">
        <v>102</v>
      </c>
      <c r="P146" s="23">
        <v>4</v>
      </c>
      <c r="Q146" s="22">
        <v>6</v>
      </c>
      <c r="R146" s="22">
        <v>6</v>
      </c>
      <c r="S146" s="22" t="s">
        <v>6</v>
      </c>
      <c r="T146" s="23">
        <v>1</v>
      </c>
      <c r="U146" s="22">
        <v>15</v>
      </c>
      <c r="V146" s="22">
        <v>15</v>
      </c>
      <c r="W146" s="22" t="s">
        <v>6</v>
      </c>
      <c r="X146" s="22" t="s">
        <v>205</v>
      </c>
      <c r="Y146" s="22" t="s">
        <v>27</v>
      </c>
      <c r="Z146" s="22" t="s">
        <v>6</v>
      </c>
      <c r="AA146" s="22">
        <f>1/6%</f>
        <v>16.666666666666668</v>
      </c>
      <c r="AB146" s="22" t="s">
        <v>6</v>
      </c>
      <c r="AC146" s="22">
        <v>0</v>
      </c>
      <c r="AD146" s="22" t="s">
        <v>6</v>
      </c>
      <c r="AE146" s="22" t="s">
        <v>314</v>
      </c>
      <c r="AF146" s="22" t="s">
        <v>324</v>
      </c>
      <c r="AG146" s="22" t="s">
        <v>325</v>
      </c>
      <c r="AH146" s="30" t="b">
        <v>0</v>
      </c>
      <c r="AI146" s="22" t="s">
        <v>6</v>
      </c>
      <c r="AJ146" s="22" t="s">
        <v>338</v>
      </c>
    </row>
    <row r="147" spans="1:36" x14ac:dyDescent="0.25">
      <c r="A147" s="22" t="s">
        <v>758</v>
      </c>
      <c r="B147" s="22" t="s">
        <v>309</v>
      </c>
      <c r="C147" s="22">
        <v>1</v>
      </c>
      <c r="D147" s="22" t="s">
        <v>161</v>
      </c>
      <c r="E147" s="22" t="s">
        <v>310</v>
      </c>
      <c r="F147" s="22" t="s">
        <v>733</v>
      </c>
      <c r="G147" s="22" t="s">
        <v>6</v>
      </c>
      <c r="H147" s="22" t="s">
        <v>6</v>
      </c>
      <c r="I147" s="22" t="s">
        <v>6</v>
      </c>
      <c r="J147" s="22" t="s">
        <v>24</v>
      </c>
      <c r="K147" s="22" t="s">
        <v>6</v>
      </c>
      <c r="L147" s="22">
        <v>14</v>
      </c>
      <c r="M147" s="22">
        <v>14</v>
      </c>
      <c r="N147" s="22">
        <v>39</v>
      </c>
      <c r="O147" s="22">
        <v>102</v>
      </c>
      <c r="P147" s="23">
        <v>5</v>
      </c>
      <c r="Q147" s="22">
        <v>7</v>
      </c>
      <c r="R147" s="22">
        <v>7</v>
      </c>
      <c r="S147" s="22" t="s">
        <v>6</v>
      </c>
      <c r="T147" s="23">
        <v>1</v>
      </c>
      <c r="U147" s="22">
        <v>15</v>
      </c>
      <c r="V147" s="22">
        <v>15</v>
      </c>
      <c r="W147" s="22" t="s">
        <v>6</v>
      </c>
      <c r="X147" s="22" t="s">
        <v>205</v>
      </c>
      <c r="Y147" s="22" t="s">
        <v>27</v>
      </c>
      <c r="Z147" s="22" t="s">
        <v>6</v>
      </c>
      <c r="AA147" s="22">
        <v>0</v>
      </c>
      <c r="AB147" s="22" t="s">
        <v>6</v>
      </c>
      <c r="AC147" s="22">
        <v>0</v>
      </c>
      <c r="AD147" s="22" t="s">
        <v>6</v>
      </c>
      <c r="AE147" s="22" t="s">
        <v>315</v>
      </c>
      <c r="AF147" s="22" t="s">
        <v>324</v>
      </c>
      <c r="AG147" s="22" t="s">
        <v>325</v>
      </c>
      <c r="AH147" s="30" t="b">
        <v>0</v>
      </c>
      <c r="AI147" s="22" t="s">
        <v>6</v>
      </c>
      <c r="AJ147" s="22" t="s">
        <v>338</v>
      </c>
    </row>
    <row r="148" spans="1:36" x14ac:dyDescent="0.25">
      <c r="A148" s="22" t="s">
        <v>758</v>
      </c>
      <c r="B148" s="22" t="s">
        <v>309</v>
      </c>
      <c r="C148" s="22">
        <v>1</v>
      </c>
      <c r="D148" s="22" t="s">
        <v>161</v>
      </c>
      <c r="E148" s="22" t="s">
        <v>310</v>
      </c>
      <c r="F148" s="22" t="s">
        <v>733</v>
      </c>
      <c r="G148" s="22" t="s">
        <v>6</v>
      </c>
      <c r="H148" s="22" t="s">
        <v>6</v>
      </c>
      <c r="I148" s="22" t="s">
        <v>6</v>
      </c>
      <c r="J148" s="22" t="s">
        <v>24</v>
      </c>
      <c r="K148" s="22" t="s">
        <v>6</v>
      </c>
      <c r="L148" s="22">
        <v>14</v>
      </c>
      <c r="M148" s="22">
        <v>14</v>
      </c>
      <c r="N148" s="22">
        <v>39</v>
      </c>
      <c r="O148" s="22">
        <v>102</v>
      </c>
      <c r="P148" s="23">
        <v>6</v>
      </c>
      <c r="Q148" s="22">
        <v>7</v>
      </c>
      <c r="R148" s="22">
        <v>7</v>
      </c>
      <c r="S148" s="22" t="s">
        <v>6</v>
      </c>
      <c r="T148" s="23">
        <v>1</v>
      </c>
      <c r="U148" s="22">
        <v>15</v>
      </c>
      <c r="V148" s="22">
        <v>15</v>
      </c>
      <c r="W148" s="22" t="s">
        <v>6</v>
      </c>
      <c r="X148" s="22" t="s">
        <v>205</v>
      </c>
      <c r="Y148" s="22" t="s">
        <v>27</v>
      </c>
      <c r="Z148" s="22" t="s">
        <v>6</v>
      </c>
      <c r="AA148" s="22">
        <v>0</v>
      </c>
      <c r="AB148" s="22" t="s">
        <v>6</v>
      </c>
      <c r="AC148" s="22">
        <v>0</v>
      </c>
      <c r="AD148" s="22" t="s">
        <v>6</v>
      </c>
      <c r="AE148" s="22" t="s">
        <v>316</v>
      </c>
      <c r="AF148" s="22" t="s">
        <v>324</v>
      </c>
      <c r="AG148" s="22" t="s">
        <v>325</v>
      </c>
      <c r="AH148" s="30" t="b">
        <v>0</v>
      </c>
      <c r="AI148" s="22" t="s">
        <v>6</v>
      </c>
      <c r="AJ148" s="22" t="s">
        <v>338</v>
      </c>
    </row>
    <row r="149" spans="1:36" x14ac:dyDescent="0.25">
      <c r="A149" s="22" t="s">
        <v>758</v>
      </c>
      <c r="B149" s="22" t="s">
        <v>309</v>
      </c>
      <c r="C149" s="22">
        <v>1</v>
      </c>
      <c r="D149" s="22" t="s">
        <v>161</v>
      </c>
      <c r="E149" s="22" t="s">
        <v>310</v>
      </c>
      <c r="F149" s="22" t="s">
        <v>733</v>
      </c>
      <c r="G149" s="22" t="s">
        <v>6</v>
      </c>
      <c r="H149" s="22" t="s">
        <v>6</v>
      </c>
      <c r="I149" s="22" t="s">
        <v>6</v>
      </c>
      <c r="J149" s="22" t="s">
        <v>24</v>
      </c>
      <c r="K149" s="22" t="s">
        <v>6</v>
      </c>
      <c r="L149" s="22">
        <v>14</v>
      </c>
      <c r="M149" s="22">
        <v>14</v>
      </c>
      <c r="N149" s="22">
        <v>39</v>
      </c>
      <c r="O149" s="22">
        <v>102</v>
      </c>
      <c r="P149" s="23">
        <v>7</v>
      </c>
      <c r="Q149" s="22">
        <v>7</v>
      </c>
      <c r="R149" s="22">
        <v>7</v>
      </c>
      <c r="S149" s="22" t="s">
        <v>6</v>
      </c>
      <c r="T149" s="23">
        <v>1</v>
      </c>
      <c r="U149" s="22">
        <v>15</v>
      </c>
      <c r="V149" s="22">
        <v>15</v>
      </c>
      <c r="W149" s="22" t="s">
        <v>6</v>
      </c>
      <c r="X149" s="22" t="s">
        <v>205</v>
      </c>
      <c r="Y149" s="22" t="s">
        <v>27</v>
      </c>
      <c r="Z149" s="22" t="s">
        <v>6</v>
      </c>
      <c r="AA149" s="22">
        <v>0</v>
      </c>
      <c r="AB149" s="22" t="s">
        <v>6</v>
      </c>
      <c r="AC149" s="22">
        <v>0</v>
      </c>
      <c r="AD149" s="22" t="s">
        <v>6</v>
      </c>
      <c r="AE149" s="22" t="s">
        <v>317</v>
      </c>
      <c r="AF149" s="22" t="s">
        <v>324</v>
      </c>
      <c r="AG149" s="22" t="s">
        <v>325</v>
      </c>
      <c r="AH149" s="30" t="b">
        <v>0</v>
      </c>
      <c r="AI149" s="22" t="s">
        <v>6</v>
      </c>
      <c r="AJ149" s="22" t="s">
        <v>338</v>
      </c>
    </row>
    <row r="150" spans="1:36" x14ac:dyDescent="0.25">
      <c r="A150" s="22" t="s">
        <v>758</v>
      </c>
      <c r="B150" s="22" t="s">
        <v>309</v>
      </c>
      <c r="C150" s="22">
        <v>1</v>
      </c>
      <c r="D150" s="22" t="s">
        <v>161</v>
      </c>
      <c r="E150" s="22" t="s">
        <v>310</v>
      </c>
      <c r="F150" s="22" t="s">
        <v>733</v>
      </c>
      <c r="G150" s="22" t="s">
        <v>6</v>
      </c>
      <c r="H150" s="22" t="s">
        <v>6</v>
      </c>
      <c r="I150" s="22" t="s">
        <v>6</v>
      </c>
      <c r="J150" s="22" t="s">
        <v>24</v>
      </c>
      <c r="K150" s="22" t="s">
        <v>6</v>
      </c>
      <c r="L150" s="22">
        <v>14</v>
      </c>
      <c r="M150" s="22">
        <v>14</v>
      </c>
      <c r="N150" s="22">
        <v>39</v>
      </c>
      <c r="O150" s="22">
        <v>102</v>
      </c>
      <c r="P150" s="23">
        <v>8</v>
      </c>
      <c r="Q150" s="22">
        <v>6</v>
      </c>
      <c r="R150" s="22">
        <v>6</v>
      </c>
      <c r="S150" s="22" t="s">
        <v>6</v>
      </c>
      <c r="T150" s="23">
        <v>1</v>
      </c>
      <c r="U150" s="22">
        <v>15</v>
      </c>
      <c r="V150" s="22">
        <v>15</v>
      </c>
      <c r="W150" s="22" t="s">
        <v>6</v>
      </c>
      <c r="X150" s="22" t="s">
        <v>205</v>
      </c>
      <c r="Y150" s="22" t="s">
        <v>27</v>
      </c>
      <c r="Z150" s="22" t="s">
        <v>6</v>
      </c>
      <c r="AA150" s="22">
        <v>0</v>
      </c>
      <c r="AB150" s="22" t="s">
        <v>6</v>
      </c>
      <c r="AC150" s="22">
        <v>0</v>
      </c>
      <c r="AD150" s="22" t="s">
        <v>6</v>
      </c>
      <c r="AE150" s="22" t="s">
        <v>318</v>
      </c>
      <c r="AF150" s="22" t="s">
        <v>324</v>
      </c>
      <c r="AG150" s="22" t="s">
        <v>325</v>
      </c>
      <c r="AH150" s="30" t="b">
        <v>0</v>
      </c>
      <c r="AI150" s="22" t="s">
        <v>6</v>
      </c>
      <c r="AJ150" s="22" t="s">
        <v>338</v>
      </c>
    </row>
    <row r="151" spans="1:36" x14ac:dyDescent="0.25">
      <c r="A151" s="22" t="s">
        <v>758</v>
      </c>
      <c r="B151" s="22" t="s">
        <v>309</v>
      </c>
      <c r="C151" s="22">
        <v>1</v>
      </c>
      <c r="D151" s="22" t="s">
        <v>161</v>
      </c>
      <c r="E151" s="22" t="s">
        <v>310</v>
      </c>
      <c r="F151" s="22" t="s">
        <v>733</v>
      </c>
      <c r="G151" s="22" t="s">
        <v>6</v>
      </c>
      <c r="H151" s="22" t="s">
        <v>6</v>
      </c>
      <c r="I151" s="22" t="s">
        <v>6</v>
      </c>
      <c r="J151" s="22" t="s">
        <v>24</v>
      </c>
      <c r="K151" s="22" t="s">
        <v>6</v>
      </c>
      <c r="L151" s="22">
        <v>14</v>
      </c>
      <c r="M151" s="22">
        <v>14</v>
      </c>
      <c r="N151" s="22">
        <v>39</v>
      </c>
      <c r="O151" s="22">
        <v>102</v>
      </c>
      <c r="P151" s="23">
        <v>9</v>
      </c>
      <c r="Q151" s="22">
        <v>6</v>
      </c>
      <c r="R151" s="22">
        <v>6</v>
      </c>
      <c r="S151" s="22" t="s">
        <v>6</v>
      </c>
      <c r="T151" s="23">
        <v>1</v>
      </c>
      <c r="U151" s="22">
        <v>15</v>
      </c>
      <c r="V151" s="22">
        <v>15</v>
      </c>
      <c r="W151" s="22" t="s">
        <v>6</v>
      </c>
      <c r="X151" s="22" t="s">
        <v>205</v>
      </c>
      <c r="Y151" s="22" t="s">
        <v>27</v>
      </c>
      <c r="Z151" s="22" t="s">
        <v>6</v>
      </c>
      <c r="AA151" s="22">
        <v>0</v>
      </c>
      <c r="AB151" s="22" t="s">
        <v>6</v>
      </c>
      <c r="AC151" s="22">
        <v>0</v>
      </c>
      <c r="AD151" s="22" t="s">
        <v>6</v>
      </c>
      <c r="AE151" s="22" t="s">
        <v>319</v>
      </c>
      <c r="AF151" s="22" t="s">
        <v>324</v>
      </c>
      <c r="AG151" s="22" t="s">
        <v>325</v>
      </c>
      <c r="AH151" s="30" t="b">
        <v>0</v>
      </c>
      <c r="AI151" s="22" t="s">
        <v>6</v>
      </c>
      <c r="AJ151" s="22" t="s">
        <v>338</v>
      </c>
    </row>
    <row r="152" spans="1:36" x14ac:dyDescent="0.25">
      <c r="A152" s="22" t="s">
        <v>758</v>
      </c>
      <c r="B152" s="22" t="s">
        <v>309</v>
      </c>
      <c r="C152" s="22">
        <v>1</v>
      </c>
      <c r="D152" s="22" t="s">
        <v>161</v>
      </c>
      <c r="E152" s="22" t="s">
        <v>310</v>
      </c>
      <c r="F152" s="22" t="s">
        <v>733</v>
      </c>
      <c r="G152" s="22" t="s">
        <v>6</v>
      </c>
      <c r="H152" s="22" t="s">
        <v>6</v>
      </c>
      <c r="I152" s="22" t="s">
        <v>6</v>
      </c>
      <c r="J152" s="22" t="s">
        <v>24</v>
      </c>
      <c r="K152" s="22" t="s">
        <v>6</v>
      </c>
      <c r="L152" s="22">
        <v>14</v>
      </c>
      <c r="M152" s="22">
        <v>14</v>
      </c>
      <c r="N152" s="22">
        <v>39</v>
      </c>
      <c r="O152" s="22">
        <v>102</v>
      </c>
      <c r="P152" s="23">
        <v>10</v>
      </c>
      <c r="Q152" s="22">
        <v>6</v>
      </c>
      <c r="R152" s="22">
        <v>6</v>
      </c>
      <c r="S152" s="22" t="s">
        <v>6</v>
      </c>
      <c r="T152" s="23">
        <v>1</v>
      </c>
      <c r="U152" s="22">
        <v>15</v>
      </c>
      <c r="V152" s="22">
        <v>15</v>
      </c>
      <c r="W152" s="22" t="s">
        <v>6</v>
      </c>
      <c r="X152" s="22" t="s">
        <v>205</v>
      </c>
      <c r="Y152" s="22" t="s">
        <v>27</v>
      </c>
      <c r="Z152" s="22" t="s">
        <v>6</v>
      </c>
      <c r="AA152" s="22">
        <v>0</v>
      </c>
      <c r="AB152" s="22" t="s">
        <v>6</v>
      </c>
      <c r="AC152" s="22">
        <v>0</v>
      </c>
      <c r="AD152" s="22" t="s">
        <v>6</v>
      </c>
      <c r="AE152" s="22" t="s">
        <v>320</v>
      </c>
      <c r="AF152" s="22" t="s">
        <v>324</v>
      </c>
      <c r="AG152" s="22" t="s">
        <v>325</v>
      </c>
      <c r="AH152" s="30" t="b">
        <v>0</v>
      </c>
      <c r="AI152" s="22" t="s">
        <v>6</v>
      </c>
      <c r="AJ152" s="22" t="s">
        <v>338</v>
      </c>
    </row>
    <row r="153" spans="1:36" x14ac:dyDescent="0.25">
      <c r="A153" s="22" t="s">
        <v>758</v>
      </c>
      <c r="B153" s="22" t="s">
        <v>309</v>
      </c>
      <c r="C153" s="22">
        <v>1</v>
      </c>
      <c r="D153" s="22" t="s">
        <v>161</v>
      </c>
      <c r="E153" s="22" t="s">
        <v>310</v>
      </c>
      <c r="F153" s="22" t="s">
        <v>733</v>
      </c>
      <c r="G153" s="22" t="s">
        <v>6</v>
      </c>
      <c r="H153" s="22" t="s">
        <v>6</v>
      </c>
      <c r="I153" s="22" t="s">
        <v>6</v>
      </c>
      <c r="J153" s="22" t="s">
        <v>24</v>
      </c>
      <c r="K153" s="22" t="s">
        <v>6</v>
      </c>
      <c r="L153" s="22">
        <v>14</v>
      </c>
      <c r="M153" s="22">
        <v>14</v>
      </c>
      <c r="N153" s="22">
        <v>39</v>
      </c>
      <c r="O153" s="22">
        <v>102</v>
      </c>
      <c r="P153" s="23">
        <v>11</v>
      </c>
      <c r="Q153" s="22">
        <v>6</v>
      </c>
      <c r="R153" s="22">
        <v>6</v>
      </c>
      <c r="S153" s="22" t="s">
        <v>6</v>
      </c>
      <c r="T153" s="23">
        <v>1</v>
      </c>
      <c r="U153" s="22">
        <v>15</v>
      </c>
      <c r="V153" s="22">
        <v>15</v>
      </c>
      <c r="W153" s="22" t="s">
        <v>6</v>
      </c>
      <c r="X153" s="22" t="s">
        <v>205</v>
      </c>
      <c r="Y153" s="22" t="s">
        <v>27</v>
      </c>
      <c r="Z153" s="22" t="s">
        <v>6</v>
      </c>
      <c r="AA153" s="22">
        <v>0</v>
      </c>
      <c r="AB153" s="22" t="s">
        <v>6</v>
      </c>
      <c r="AC153" s="22">
        <v>0</v>
      </c>
      <c r="AD153" s="22" t="s">
        <v>6</v>
      </c>
      <c r="AE153" s="22" t="s">
        <v>321</v>
      </c>
      <c r="AF153" s="22" t="s">
        <v>324</v>
      </c>
      <c r="AG153" s="22" t="s">
        <v>325</v>
      </c>
      <c r="AH153" s="30" t="b">
        <v>0</v>
      </c>
      <c r="AI153" s="22" t="s">
        <v>6</v>
      </c>
      <c r="AJ153" s="22" t="s">
        <v>338</v>
      </c>
    </row>
    <row r="154" spans="1:36" x14ac:dyDescent="0.25">
      <c r="A154" s="22" t="s">
        <v>758</v>
      </c>
      <c r="B154" s="22" t="s">
        <v>309</v>
      </c>
      <c r="C154" s="22">
        <v>1</v>
      </c>
      <c r="D154" s="22" t="s">
        <v>161</v>
      </c>
      <c r="E154" s="22" t="s">
        <v>310</v>
      </c>
      <c r="F154" s="22" t="s">
        <v>733</v>
      </c>
      <c r="G154" s="22" t="s">
        <v>6</v>
      </c>
      <c r="H154" s="22" t="s">
        <v>6</v>
      </c>
      <c r="I154" s="22" t="s">
        <v>6</v>
      </c>
      <c r="J154" s="22" t="s">
        <v>24</v>
      </c>
      <c r="K154" s="22" t="s">
        <v>6</v>
      </c>
      <c r="L154" s="22">
        <v>14</v>
      </c>
      <c r="M154" s="22">
        <v>14</v>
      </c>
      <c r="N154" s="22">
        <v>39</v>
      </c>
      <c r="O154" s="22">
        <v>102</v>
      </c>
      <c r="P154" s="23">
        <v>12</v>
      </c>
      <c r="Q154" s="22">
        <v>5</v>
      </c>
      <c r="R154" s="22">
        <v>5</v>
      </c>
      <c r="S154" s="22" t="s">
        <v>6</v>
      </c>
      <c r="T154" s="23">
        <v>1</v>
      </c>
      <c r="U154" s="22">
        <v>15</v>
      </c>
      <c r="V154" s="22">
        <v>15</v>
      </c>
      <c r="W154" s="22" t="s">
        <v>6</v>
      </c>
      <c r="X154" s="22" t="s">
        <v>205</v>
      </c>
      <c r="Y154" s="22" t="s">
        <v>27</v>
      </c>
      <c r="Z154" s="22" t="s">
        <v>6</v>
      </c>
      <c r="AA154" s="22">
        <v>0</v>
      </c>
      <c r="AB154" s="22" t="s">
        <v>6</v>
      </c>
      <c r="AC154" s="22">
        <v>0</v>
      </c>
      <c r="AD154" s="22" t="s">
        <v>6</v>
      </c>
      <c r="AE154" s="22" t="s">
        <v>322</v>
      </c>
      <c r="AF154" s="22" t="s">
        <v>324</v>
      </c>
      <c r="AG154" s="22" t="s">
        <v>325</v>
      </c>
      <c r="AH154" s="30" t="b">
        <v>0</v>
      </c>
      <c r="AI154" s="22" t="s">
        <v>6</v>
      </c>
      <c r="AJ154" s="22" t="s">
        <v>338</v>
      </c>
    </row>
    <row r="155" spans="1:36" x14ac:dyDescent="0.25">
      <c r="A155" s="22" t="s">
        <v>758</v>
      </c>
      <c r="B155" s="22" t="s">
        <v>309</v>
      </c>
      <c r="C155" s="22">
        <v>1</v>
      </c>
      <c r="D155" s="22" t="s">
        <v>161</v>
      </c>
      <c r="E155" s="22" t="s">
        <v>310</v>
      </c>
      <c r="F155" s="22" t="s">
        <v>733</v>
      </c>
      <c r="G155" s="22" t="s">
        <v>6</v>
      </c>
      <c r="H155" s="22" t="s">
        <v>6</v>
      </c>
      <c r="I155" s="22" t="s">
        <v>6</v>
      </c>
      <c r="J155" s="22" t="s">
        <v>24</v>
      </c>
      <c r="K155" s="22" t="s">
        <v>6</v>
      </c>
      <c r="L155" s="22">
        <v>14</v>
      </c>
      <c r="M155" s="22">
        <v>14</v>
      </c>
      <c r="N155" s="22">
        <v>39</v>
      </c>
      <c r="O155" s="22">
        <v>102</v>
      </c>
      <c r="P155" s="23">
        <v>13</v>
      </c>
      <c r="Q155" s="22">
        <v>4</v>
      </c>
      <c r="R155" s="22">
        <v>4</v>
      </c>
      <c r="S155" s="22" t="s">
        <v>6</v>
      </c>
      <c r="T155" s="23">
        <v>1</v>
      </c>
      <c r="U155" s="22">
        <v>15</v>
      </c>
      <c r="V155" s="22">
        <v>15</v>
      </c>
      <c r="W155" s="22" t="s">
        <v>6</v>
      </c>
      <c r="X155" s="22" t="s">
        <v>205</v>
      </c>
      <c r="Y155" s="22" t="s">
        <v>27</v>
      </c>
      <c r="Z155" s="22" t="s">
        <v>6</v>
      </c>
      <c r="AA155" s="22">
        <v>0</v>
      </c>
      <c r="AB155" s="22" t="s">
        <v>6</v>
      </c>
      <c r="AC155" s="22">
        <v>0</v>
      </c>
      <c r="AD155" s="22" t="s">
        <v>6</v>
      </c>
      <c r="AE155" s="22" t="s">
        <v>323</v>
      </c>
      <c r="AF155" s="22" t="s">
        <v>324</v>
      </c>
      <c r="AG155" s="22" t="s">
        <v>325</v>
      </c>
      <c r="AH155" s="30" t="b">
        <v>0</v>
      </c>
      <c r="AI155" s="22" t="s">
        <v>6</v>
      </c>
      <c r="AJ155" s="22" t="s">
        <v>338</v>
      </c>
    </row>
    <row r="156" spans="1:36" x14ac:dyDescent="0.25">
      <c r="A156" s="22" t="s">
        <v>758</v>
      </c>
      <c r="B156" s="22" t="s">
        <v>309</v>
      </c>
      <c r="C156" s="22">
        <v>1</v>
      </c>
      <c r="D156" s="22" t="s">
        <v>161</v>
      </c>
      <c r="E156" s="22" t="s">
        <v>310</v>
      </c>
      <c r="F156" s="22" t="s">
        <v>733</v>
      </c>
      <c r="G156" s="22" t="s">
        <v>6</v>
      </c>
      <c r="H156" s="22" t="s">
        <v>6</v>
      </c>
      <c r="I156" s="22" t="s">
        <v>6</v>
      </c>
      <c r="J156" s="22" t="s">
        <v>777</v>
      </c>
      <c r="K156" s="22">
        <v>1</v>
      </c>
      <c r="L156" s="22">
        <v>14</v>
      </c>
      <c r="M156" s="22">
        <v>14</v>
      </c>
      <c r="N156" s="22">
        <v>39</v>
      </c>
      <c r="O156" s="22">
        <v>103</v>
      </c>
      <c r="P156" s="23">
        <v>1</v>
      </c>
      <c r="Q156" s="22">
        <v>7</v>
      </c>
      <c r="R156" s="22">
        <v>7</v>
      </c>
      <c r="S156" s="22" t="s">
        <v>6</v>
      </c>
      <c r="T156" s="23">
        <v>1</v>
      </c>
      <c r="U156" s="22">
        <v>15</v>
      </c>
      <c r="V156" s="22">
        <v>15</v>
      </c>
      <c r="W156" s="22" t="s">
        <v>6</v>
      </c>
      <c r="X156" s="22" t="s">
        <v>198</v>
      </c>
      <c r="Y156" s="22" t="s">
        <v>27</v>
      </c>
      <c r="Z156" s="22" t="s">
        <v>6</v>
      </c>
      <c r="AA156" s="22">
        <f>2/7%</f>
        <v>28.571428571428569</v>
      </c>
      <c r="AB156" s="22" t="s">
        <v>6</v>
      </c>
      <c r="AC156" s="22">
        <f t="shared" ref="AC156:AC168" si="1">9/15%</f>
        <v>60</v>
      </c>
      <c r="AD156" s="22" t="s">
        <v>6</v>
      </c>
      <c r="AE156" s="22" t="s">
        <v>311</v>
      </c>
      <c r="AF156" s="22" t="s">
        <v>324</v>
      </c>
      <c r="AG156" s="22" t="s">
        <v>325</v>
      </c>
      <c r="AH156" s="30" t="b">
        <v>0</v>
      </c>
      <c r="AI156" s="22" t="s">
        <v>6</v>
      </c>
      <c r="AJ156" s="22" t="s">
        <v>326</v>
      </c>
    </row>
    <row r="157" spans="1:36" x14ac:dyDescent="0.25">
      <c r="A157" s="22" t="s">
        <v>758</v>
      </c>
      <c r="B157" s="22" t="s">
        <v>309</v>
      </c>
      <c r="C157" s="22">
        <v>1</v>
      </c>
      <c r="D157" s="22" t="s">
        <v>161</v>
      </c>
      <c r="E157" s="22" t="s">
        <v>310</v>
      </c>
      <c r="F157" s="22" t="s">
        <v>733</v>
      </c>
      <c r="G157" s="22" t="s">
        <v>6</v>
      </c>
      <c r="H157" s="22" t="s">
        <v>6</v>
      </c>
      <c r="I157" s="22" t="s">
        <v>6</v>
      </c>
      <c r="J157" s="22" t="s">
        <v>777</v>
      </c>
      <c r="K157" s="22">
        <v>1</v>
      </c>
      <c r="L157" s="22">
        <v>14</v>
      </c>
      <c r="M157" s="22">
        <v>14</v>
      </c>
      <c r="N157" s="22">
        <v>39</v>
      </c>
      <c r="O157" s="22">
        <v>103</v>
      </c>
      <c r="P157" s="23">
        <v>2</v>
      </c>
      <c r="Q157" s="22">
        <v>6</v>
      </c>
      <c r="R157" s="22">
        <v>6</v>
      </c>
      <c r="S157" s="22" t="s">
        <v>6</v>
      </c>
      <c r="T157" s="23">
        <v>1</v>
      </c>
      <c r="U157" s="22">
        <v>15</v>
      </c>
      <c r="V157" s="22">
        <v>15</v>
      </c>
      <c r="W157" s="22" t="s">
        <v>6</v>
      </c>
      <c r="X157" s="22" t="s">
        <v>198</v>
      </c>
      <c r="Y157" s="22" t="s">
        <v>27</v>
      </c>
      <c r="Z157" s="22" t="s">
        <v>6</v>
      </c>
      <c r="AA157" s="22">
        <f>2/6%</f>
        <v>33.333333333333336</v>
      </c>
      <c r="AB157" s="22" t="s">
        <v>6</v>
      </c>
      <c r="AC157" s="22">
        <f t="shared" si="1"/>
        <v>60</v>
      </c>
      <c r="AD157" s="22" t="s">
        <v>6</v>
      </c>
      <c r="AE157" s="22" t="s">
        <v>312</v>
      </c>
      <c r="AF157" s="22" t="s">
        <v>324</v>
      </c>
      <c r="AG157" s="22" t="s">
        <v>325</v>
      </c>
      <c r="AH157" s="30" t="b">
        <v>0</v>
      </c>
      <c r="AI157" s="22" t="s">
        <v>6</v>
      </c>
      <c r="AJ157" s="22" t="s">
        <v>326</v>
      </c>
    </row>
    <row r="158" spans="1:36" x14ac:dyDescent="0.25">
      <c r="A158" s="22" t="s">
        <v>758</v>
      </c>
      <c r="B158" s="22" t="s">
        <v>309</v>
      </c>
      <c r="C158" s="22">
        <v>1</v>
      </c>
      <c r="D158" s="22" t="s">
        <v>161</v>
      </c>
      <c r="E158" s="22" t="s">
        <v>310</v>
      </c>
      <c r="F158" s="22" t="s">
        <v>733</v>
      </c>
      <c r="G158" s="22" t="s">
        <v>6</v>
      </c>
      <c r="H158" s="22" t="s">
        <v>6</v>
      </c>
      <c r="I158" s="22" t="s">
        <v>6</v>
      </c>
      <c r="J158" s="22" t="s">
        <v>777</v>
      </c>
      <c r="K158" s="22">
        <v>1</v>
      </c>
      <c r="L158" s="22">
        <v>14</v>
      </c>
      <c r="M158" s="22">
        <v>14</v>
      </c>
      <c r="N158" s="22">
        <v>39</v>
      </c>
      <c r="O158" s="22">
        <v>103</v>
      </c>
      <c r="P158" s="23">
        <v>3</v>
      </c>
      <c r="Q158" s="22">
        <v>6</v>
      </c>
      <c r="R158" s="22">
        <v>6</v>
      </c>
      <c r="S158" s="22" t="s">
        <v>6</v>
      </c>
      <c r="T158" s="23">
        <v>1</v>
      </c>
      <c r="U158" s="22">
        <v>15</v>
      </c>
      <c r="V158" s="22">
        <v>15</v>
      </c>
      <c r="W158" s="22" t="s">
        <v>6</v>
      </c>
      <c r="X158" s="22" t="s">
        <v>198</v>
      </c>
      <c r="Y158" s="22" t="s">
        <v>27</v>
      </c>
      <c r="Z158" s="22" t="s">
        <v>6</v>
      </c>
      <c r="AA158" s="22">
        <f>3/6%</f>
        <v>50</v>
      </c>
      <c r="AB158" s="22" t="s">
        <v>6</v>
      </c>
      <c r="AC158" s="22">
        <f t="shared" si="1"/>
        <v>60</v>
      </c>
      <c r="AD158" s="22" t="s">
        <v>6</v>
      </c>
      <c r="AE158" s="22" t="s">
        <v>313</v>
      </c>
      <c r="AF158" s="22" t="s">
        <v>324</v>
      </c>
      <c r="AG158" s="22" t="s">
        <v>325</v>
      </c>
      <c r="AH158" s="30" t="b">
        <v>0</v>
      </c>
      <c r="AI158" s="22" t="s">
        <v>6</v>
      </c>
      <c r="AJ158" s="22" t="s">
        <v>326</v>
      </c>
    </row>
    <row r="159" spans="1:36" x14ac:dyDescent="0.25">
      <c r="A159" s="22" t="s">
        <v>758</v>
      </c>
      <c r="B159" s="22" t="s">
        <v>309</v>
      </c>
      <c r="C159" s="22">
        <v>1</v>
      </c>
      <c r="D159" s="22" t="s">
        <v>161</v>
      </c>
      <c r="E159" s="22" t="s">
        <v>310</v>
      </c>
      <c r="F159" s="22" t="s">
        <v>733</v>
      </c>
      <c r="G159" s="22" t="s">
        <v>6</v>
      </c>
      <c r="H159" s="22" t="s">
        <v>6</v>
      </c>
      <c r="I159" s="22" t="s">
        <v>6</v>
      </c>
      <c r="J159" s="22" t="s">
        <v>777</v>
      </c>
      <c r="K159" s="22">
        <v>1</v>
      </c>
      <c r="L159" s="22">
        <v>14</v>
      </c>
      <c r="M159" s="22">
        <v>14</v>
      </c>
      <c r="N159" s="22">
        <v>39</v>
      </c>
      <c r="O159" s="22">
        <v>103</v>
      </c>
      <c r="P159" s="23">
        <v>4</v>
      </c>
      <c r="Q159" s="22">
        <v>5</v>
      </c>
      <c r="R159" s="22">
        <v>5</v>
      </c>
      <c r="S159" s="22" t="s">
        <v>6</v>
      </c>
      <c r="T159" s="23">
        <v>1</v>
      </c>
      <c r="U159" s="22">
        <v>15</v>
      </c>
      <c r="V159" s="22">
        <v>15</v>
      </c>
      <c r="W159" s="22" t="s">
        <v>6</v>
      </c>
      <c r="X159" s="22" t="s">
        <v>198</v>
      </c>
      <c r="Y159" s="22" t="s">
        <v>27</v>
      </c>
      <c r="Z159" s="22" t="s">
        <v>6</v>
      </c>
      <c r="AA159" s="22">
        <f>0/5%</f>
        <v>0</v>
      </c>
      <c r="AB159" s="22" t="s">
        <v>6</v>
      </c>
      <c r="AC159" s="22">
        <f t="shared" si="1"/>
        <v>60</v>
      </c>
      <c r="AD159" s="22" t="s">
        <v>6</v>
      </c>
      <c r="AE159" s="22" t="s">
        <v>314</v>
      </c>
      <c r="AF159" s="22" t="s">
        <v>324</v>
      </c>
      <c r="AG159" s="22" t="s">
        <v>325</v>
      </c>
      <c r="AH159" s="30" t="b">
        <v>0</v>
      </c>
      <c r="AI159" s="22" t="s">
        <v>6</v>
      </c>
      <c r="AJ159" s="22" t="s">
        <v>326</v>
      </c>
    </row>
    <row r="160" spans="1:36" x14ac:dyDescent="0.25">
      <c r="A160" s="22" t="s">
        <v>758</v>
      </c>
      <c r="B160" s="22" t="s">
        <v>309</v>
      </c>
      <c r="C160" s="22">
        <v>1</v>
      </c>
      <c r="D160" s="22" t="s">
        <v>161</v>
      </c>
      <c r="E160" s="22" t="s">
        <v>310</v>
      </c>
      <c r="F160" s="22" t="s">
        <v>733</v>
      </c>
      <c r="G160" s="22" t="s">
        <v>6</v>
      </c>
      <c r="H160" s="22" t="s">
        <v>6</v>
      </c>
      <c r="I160" s="22" t="s">
        <v>6</v>
      </c>
      <c r="J160" s="22" t="s">
        <v>777</v>
      </c>
      <c r="K160" s="22">
        <v>1</v>
      </c>
      <c r="L160" s="22">
        <v>14</v>
      </c>
      <c r="M160" s="22">
        <v>14</v>
      </c>
      <c r="N160" s="22">
        <v>39</v>
      </c>
      <c r="O160" s="22">
        <v>103</v>
      </c>
      <c r="P160" s="23">
        <v>5</v>
      </c>
      <c r="Q160" s="22">
        <v>7</v>
      </c>
      <c r="R160" s="22">
        <v>7</v>
      </c>
      <c r="S160" s="22" t="s">
        <v>6</v>
      </c>
      <c r="T160" s="23">
        <v>1</v>
      </c>
      <c r="U160" s="22">
        <v>15</v>
      </c>
      <c r="V160" s="22">
        <v>15</v>
      </c>
      <c r="W160" s="22" t="s">
        <v>6</v>
      </c>
      <c r="X160" s="22" t="s">
        <v>198</v>
      </c>
      <c r="Y160" s="22" t="s">
        <v>27</v>
      </c>
      <c r="Z160" s="22" t="s">
        <v>6</v>
      </c>
      <c r="AA160" s="22">
        <f>2/7%</f>
        <v>28.571428571428569</v>
      </c>
      <c r="AB160" s="22" t="s">
        <v>6</v>
      </c>
      <c r="AC160" s="22">
        <f t="shared" si="1"/>
        <v>60</v>
      </c>
      <c r="AD160" s="22" t="s">
        <v>6</v>
      </c>
      <c r="AE160" s="22" t="s">
        <v>315</v>
      </c>
      <c r="AF160" s="22" t="s">
        <v>324</v>
      </c>
      <c r="AG160" s="22" t="s">
        <v>325</v>
      </c>
      <c r="AH160" s="30" t="b">
        <v>0</v>
      </c>
      <c r="AI160" s="22" t="s">
        <v>6</v>
      </c>
      <c r="AJ160" s="22" t="s">
        <v>326</v>
      </c>
    </row>
    <row r="161" spans="1:36" x14ac:dyDescent="0.25">
      <c r="A161" s="22" t="s">
        <v>758</v>
      </c>
      <c r="B161" s="22" t="s">
        <v>309</v>
      </c>
      <c r="C161" s="22">
        <v>1</v>
      </c>
      <c r="D161" s="22" t="s">
        <v>161</v>
      </c>
      <c r="E161" s="22" t="s">
        <v>310</v>
      </c>
      <c r="F161" s="22" t="s">
        <v>733</v>
      </c>
      <c r="G161" s="22" t="s">
        <v>6</v>
      </c>
      <c r="H161" s="22" t="s">
        <v>6</v>
      </c>
      <c r="I161" s="22" t="s">
        <v>6</v>
      </c>
      <c r="J161" s="22" t="s">
        <v>777</v>
      </c>
      <c r="K161" s="22">
        <v>1</v>
      </c>
      <c r="L161" s="22">
        <v>14</v>
      </c>
      <c r="M161" s="22">
        <v>14</v>
      </c>
      <c r="N161" s="22">
        <v>39</v>
      </c>
      <c r="O161" s="22">
        <v>103</v>
      </c>
      <c r="P161" s="23">
        <v>6</v>
      </c>
      <c r="Q161" s="22">
        <v>7</v>
      </c>
      <c r="R161" s="22">
        <v>7</v>
      </c>
      <c r="S161" s="22" t="s">
        <v>6</v>
      </c>
      <c r="T161" s="23">
        <v>1</v>
      </c>
      <c r="U161" s="22">
        <v>15</v>
      </c>
      <c r="V161" s="22">
        <v>15</v>
      </c>
      <c r="W161" s="22" t="s">
        <v>6</v>
      </c>
      <c r="X161" s="22" t="s">
        <v>198</v>
      </c>
      <c r="Y161" s="22" t="s">
        <v>27</v>
      </c>
      <c r="Z161" s="22" t="s">
        <v>6</v>
      </c>
      <c r="AA161" s="22">
        <f>2/7%</f>
        <v>28.571428571428569</v>
      </c>
      <c r="AB161" s="22" t="s">
        <v>6</v>
      </c>
      <c r="AC161" s="22">
        <f t="shared" si="1"/>
        <v>60</v>
      </c>
      <c r="AD161" s="22" t="s">
        <v>6</v>
      </c>
      <c r="AE161" s="22" t="s">
        <v>316</v>
      </c>
      <c r="AF161" s="22" t="s">
        <v>324</v>
      </c>
      <c r="AG161" s="22" t="s">
        <v>325</v>
      </c>
      <c r="AH161" s="30" t="b">
        <v>0</v>
      </c>
      <c r="AI161" s="22" t="s">
        <v>6</v>
      </c>
      <c r="AJ161" s="22" t="s">
        <v>326</v>
      </c>
    </row>
    <row r="162" spans="1:36" x14ac:dyDescent="0.25">
      <c r="A162" s="22" t="s">
        <v>758</v>
      </c>
      <c r="B162" s="22" t="s">
        <v>309</v>
      </c>
      <c r="C162" s="22">
        <v>1</v>
      </c>
      <c r="D162" s="22" t="s">
        <v>161</v>
      </c>
      <c r="E162" s="22" t="s">
        <v>310</v>
      </c>
      <c r="F162" s="22" t="s">
        <v>733</v>
      </c>
      <c r="G162" s="22" t="s">
        <v>6</v>
      </c>
      <c r="H162" s="22" t="s">
        <v>6</v>
      </c>
      <c r="I162" s="22" t="s">
        <v>6</v>
      </c>
      <c r="J162" s="22" t="s">
        <v>777</v>
      </c>
      <c r="K162" s="22">
        <v>1</v>
      </c>
      <c r="L162" s="22">
        <v>14</v>
      </c>
      <c r="M162" s="22">
        <v>14</v>
      </c>
      <c r="N162" s="22">
        <v>39</v>
      </c>
      <c r="O162" s="22">
        <v>103</v>
      </c>
      <c r="P162" s="23">
        <v>7</v>
      </c>
      <c r="Q162" s="22">
        <v>7</v>
      </c>
      <c r="R162" s="22">
        <v>7</v>
      </c>
      <c r="S162" s="22" t="s">
        <v>6</v>
      </c>
      <c r="T162" s="23">
        <v>1</v>
      </c>
      <c r="U162" s="22">
        <v>15</v>
      </c>
      <c r="V162" s="22">
        <v>15</v>
      </c>
      <c r="W162" s="22" t="s">
        <v>6</v>
      </c>
      <c r="X162" s="22" t="s">
        <v>198</v>
      </c>
      <c r="Y162" s="22" t="s">
        <v>27</v>
      </c>
      <c r="Z162" s="22" t="s">
        <v>6</v>
      </c>
      <c r="AA162" s="22">
        <f>3/7%</f>
        <v>42.857142857142854</v>
      </c>
      <c r="AB162" s="22" t="s">
        <v>6</v>
      </c>
      <c r="AC162" s="22">
        <f t="shared" si="1"/>
        <v>60</v>
      </c>
      <c r="AD162" s="22" t="s">
        <v>6</v>
      </c>
      <c r="AE162" s="22" t="s">
        <v>317</v>
      </c>
      <c r="AF162" s="22" t="s">
        <v>324</v>
      </c>
      <c r="AG162" s="22" t="s">
        <v>325</v>
      </c>
      <c r="AH162" s="30" t="b">
        <v>0</v>
      </c>
      <c r="AI162" s="22" t="s">
        <v>6</v>
      </c>
      <c r="AJ162" s="22" t="s">
        <v>326</v>
      </c>
    </row>
    <row r="163" spans="1:36" x14ac:dyDescent="0.25">
      <c r="A163" s="22" t="s">
        <v>758</v>
      </c>
      <c r="B163" s="22" t="s">
        <v>309</v>
      </c>
      <c r="C163" s="22">
        <v>1</v>
      </c>
      <c r="D163" s="22" t="s">
        <v>161</v>
      </c>
      <c r="E163" s="22" t="s">
        <v>310</v>
      </c>
      <c r="F163" s="22" t="s">
        <v>733</v>
      </c>
      <c r="G163" s="22" t="s">
        <v>6</v>
      </c>
      <c r="H163" s="22" t="s">
        <v>6</v>
      </c>
      <c r="I163" s="22" t="s">
        <v>6</v>
      </c>
      <c r="J163" s="22" t="s">
        <v>777</v>
      </c>
      <c r="K163" s="22">
        <v>1</v>
      </c>
      <c r="L163" s="22">
        <v>14</v>
      </c>
      <c r="M163" s="22">
        <v>14</v>
      </c>
      <c r="N163" s="22">
        <v>39</v>
      </c>
      <c r="O163" s="22">
        <v>103</v>
      </c>
      <c r="P163" s="23">
        <v>8</v>
      </c>
      <c r="Q163" s="22">
        <v>6</v>
      </c>
      <c r="R163" s="22">
        <v>6</v>
      </c>
      <c r="S163" s="22" t="s">
        <v>6</v>
      </c>
      <c r="T163" s="23">
        <v>1</v>
      </c>
      <c r="U163" s="22">
        <v>15</v>
      </c>
      <c r="V163" s="22">
        <v>15</v>
      </c>
      <c r="W163" s="22" t="s">
        <v>6</v>
      </c>
      <c r="X163" s="22" t="s">
        <v>198</v>
      </c>
      <c r="Y163" s="22" t="s">
        <v>27</v>
      </c>
      <c r="Z163" s="22" t="s">
        <v>6</v>
      </c>
      <c r="AA163" s="22">
        <f>1/6%</f>
        <v>16.666666666666668</v>
      </c>
      <c r="AB163" s="22" t="s">
        <v>6</v>
      </c>
      <c r="AC163" s="22">
        <f t="shared" si="1"/>
        <v>60</v>
      </c>
      <c r="AD163" s="22" t="s">
        <v>6</v>
      </c>
      <c r="AE163" s="22" t="s">
        <v>318</v>
      </c>
      <c r="AF163" s="22" t="s">
        <v>324</v>
      </c>
      <c r="AG163" s="22" t="s">
        <v>325</v>
      </c>
      <c r="AH163" s="30" t="b">
        <v>0</v>
      </c>
      <c r="AI163" s="22" t="s">
        <v>6</v>
      </c>
      <c r="AJ163" s="22" t="s">
        <v>326</v>
      </c>
    </row>
    <row r="164" spans="1:36" x14ac:dyDescent="0.25">
      <c r="A164" s="22" t="s">
        <v>758</v>
      </c>
      <c r="B164" s="22" t="s">
        <v>309</v>
      </c>
      <c r="C164" s="22">
        <v>1</v>
      </c>
      <c r="D164" s="22" t="s">
        <v>161</v>
      </c>
      <c r="E164" s="22" t="s">
        <v>310</v>
      </c>
      <c r="F164" s="22" t="s">
        <v>733</v>
      </c>
      <c r="G164" s="22" t="s">
        <v>6</v>
      </c>
      <c r="H164" s="22" t="s">
        <v>6</v>
      </c>
      <c r="I164" s="22" t="s">
        <v>6</v>
      </c>
      <c r="J164" s="22" t="s">
        <v>777</v>
      </c>
      <c r="K164" s="22">
        <v>1</v>
      </c>
      <c r="L164" s="22">
        <v>14</v>
      </c>
      <c r="M164" s="22">
        <v>14</v>
      </c>
      <c r="N164" s="22">
        <v>39</v>
      </c>
      <c r="O164" s="22">
        <v>103</v>
      </c>
      <c r="P164" s="23">
        <v>9</v>
      </c>
      <c r="Q164" s="22">
        <v>6</v>
      </c>
      <c r="R164" s="22">
        <v>6</v>
      </c>
      <c r="S164" s="22" t="s">
        <v>6</v>
      </c>
      <c r="T164" s="23">
        <v>1</v>
      </c>
      <c r="U164" s="22">
        <v>15</v>
      </c>
      <c r="V164" s="22">
        <v>15</v>
      </c>
      <c r="W164" s="22" t="s">
        <v>6</v>
      </c>
      <c r="X164" s="22" t="s">
        <v>198</v>
      </c>
      <c r="Y164" s="22" t="s">
        <v>27</v>
      </c>
      <c r="Z164" s="22" t="s">
        <v>6</v>
      </c>
      <c r="AA164" s="22">
        <f>0/6%</f>
        <v>0</v>
      </c>
      <c r="AB164" s="22" t="s">
        <v>6</v>
      </c>
      <c r="AC164" s="22">
        <f t="shared" si="1"/>
        <v>60</v>
      </c>
      <c r="AD164" s="22" t="s">
        <v>6</v>
      </c>
      <c r="AE164" s="22" t="s">
        <v>319</v>
      </c>
      <c r="AF164" s="22" t="s">
        <v>324</v>
      </c>
      <c r="AG164" s="22" t="s">
        <v>325</v>
      </c>
      <c r="AH164" s="30" t="b">
        <v>0</v>
      </c>
      <c r="AI164" s="22" t="s">
        <v>6</v>
      </c>
      <c r="AJ164" s="22" t="s">
        <v>326</v>
      </c>
    </row>
    <row r="165" spans="1:36" x14ac:dyDescent="0.25">
      <c r="A165" s="22" t="s">
        <v>758</v>
      </c>
      <c r="B165" s="22" t="s">
        <v>309</v>
      </c>
      <c r="C165" s="22">
        <v>1</v>
      </c>
      <c r="D165" s="22" t="s">
        <v>161</v>
      </c>
      <c r="E165" s="22" t="s">
        <v>310</v>
      </c>
      <c r="F165" s="22" t="s">
        <v>733</v>
      </c>
      <c r="G165" s="22" t="s">
        <v>6</v>
      </c>
      <c r="H165" s="22" t="s">
        <v>6</v>
      </c>
      <c r="I165" s="22" t="s">
        <v>6</v>
      </c>
      <c r="J165" s="22" t="s">
        <v>777</v>
      </c>
      <c r="K165" s="22">
        <v>1</v>
      </c>
      <c r="L165" s="22">
        <v>14</v>
      </c>
      <c r="M165" s="22">
        <v>14</v>
      </c>
      <c r="N165" s="22">
        <v>39</v>
      </c>
      <c r="O165" s="22">
        <v>103</v>
      </c>
      <c r="P165" s="23">
        <v>10</v>
      </c>
      <c r="Q165" s="22">
        <v>6</v>
      </c>
      <c r="R165" s="22">
        <v>6</v>
      </c>
      <c r="S165" s="22" t="s">
        <v>6</v>
      </c>
      <c r="T165" s="23">
        <v>1</v>
      </c>
      <c r="U165" s="22">
        <v>15</v>
      </c>
      <c r="V165" s="22">
        <v>15</v>
      </c>
      <c r="W165" s="22" t="s">
        <v>6</v>
      </c>
      <c r="X165" s="22" t="s">
        <v>198</v>
      </c>
      <c r="Y165" s="22" t="s">
        <v>27</v>
      </c>
      <c r="Z165" s="22" t="s">
        <v>6</v>
      </c>
      <c r="AA165" s="22">
        <f>0/6%</f>
        <v>0</v>
      </c>
      <c r="AB165" s="22" t="s">
        <v>6</v>
      </c>
      <c r="AC165" s="22">
        <f t="shared" si="1"/>
        <v>60</v>
      </c>
      <c r="AD165" s="22" t="s">
        <v>6</v>
      </c>
      <c r="AE165" s="22" t="s">
        <v>320</v>
      </c>
      <c r="AF165" s="22" t="s">
        <v>324</v>
      </c>
      <c r="AG165" s="22" t="s">
        <v>325</v>
      </c>
      <c r="AH165" s="30" t="b">
        <v>0</v>
      </c>
      <c r="AI165" s="22" t="s">
        <v>6</v>
      </c>
      <c r="AJ165" s="22" t="s">
        <v>326</v>
      </c>
    </row>
    <row r="166" spans="1:36" x14ac:dyDescent="0.25">
      <c r="A166" s="22" t="s">
        <v>758</v>
      </c>
      <c r="B166" s="22" t="s">
        <v>309</v>
      </c>
      <c r="C166" s="22">
        <v>1</v>
      </c>
      <c r="D166" s="22" t="s">
        <v>161</v>
      </c>
      <c r="E166" s="22" t="s">
        <v>310</v>
      </c>
      <c r="F166" s="22" t="s">
        <v>733</v>
      </c>
      <c r="G166" s="22" t="s">
        <v>6</v>
      </c>
      <c r="H166" s="22" t="s">
        <v>6</v>
      </c>
      <c r="I166" s="22" t="s">
        <v>6</v>
      </c>
      <c r="J166" s="22" t="s">
        <v>777</v>
      </c>
      <c r="K166" s="22">
        <v>1</v>
      </c>
      <c r="L166" s="22">
        <v>14</v>
      </c>
      <c r="M166" s="22">
        <v>14</v>
      </c>
      <c r="N166" s="22">
        <v>39</v>
      </c>
      <c r="O166" s="22">
        <v>103</v>
      </c>
      <c r="P166" s="23">
        <v>11</v>
      </c>
      <c r="Q166" s="22">
        <v>6</v>
      </c>
      <c r="R166" s="22">
        <v>6</v>
      </c>
      <c r="S166" s="22" t="s">
        <v>6</v>
      </c>
      <c r="T166" s="23">
        <v>1</v>
      </c>
      <c r="U166" s="22">
        <v>15</v>
      </c>
      <c r="V166" s="22">
        <v>15</v>
      </c>
      <c r="W166" s="22" t="s">
        <v>6</v>
      </c>
      <c r="X166" s="22" t="s">
        <v>198</v>
      </c>
      <c r="Y166" s="22" t="s">
        <v>27</v>
      </c>
      <c r="Z166" s="22" t="s">
        <v>6</v>
      </c>
      <c r="AA166" s="22">
        <f>0/6%</f>
        <v>0</v>
      </c>
      <c r="AB166" s="22" t="s">
        <v>6</v>
      </c>
      <c r="AC166" s="22">
        <f t="shared" si="1"/>
        <v>60</v>
      </c>
      <c r="AD166" s="22" t="s">
        <v>6</v>
      </c>
      <c r="AE166" s="22" t="s">
        <v>321</v>
      </c>
      <c r="AF166" s="22" t="s">
        <v>324</v>
      </c>
      <c r="AG166" s="22" t="s">
        <v>325</v>
      </c>
      <c r="AH166" s="30" t="b">
        <v>0</v>
      </c>
      <c r="AI166" s="22" t="s">
        <v>6</v>
      </c>
      <c r="AJ166" s="22" t="s">
        <v>326</v>
      </c>
    </row>
    <row r="167" spans="1:36" x14ac:dyDescent="0.25">
      <c r="A167" s="22" t="s">
        <v>758</v>
      </c>
      <c r="B167" s="22" t="s">
        <v>309</v>
      </c>
      <c r="C167" s="22">
        <v>1</v>
      </c>
      <c r="D167" s="22" t="s">
        <v>161</v>
      </c>
      <c r="E167" s="22" t="s">
        <v>310</v>
      </c>
      <c r="F167" s="22" t="s">
        <v>733</v>
      </c>
      <c r="G167" s="22" t="s">
        <v>6</v>
      </c>
      <c r="H167" s="22" t="s">
        <v>6</v>
      </c>
      <c r="I167" s="22" t="s">
        <v>6</v>
      </c>
      <c r="J167" s="22" t="s">
        <v>777</v>
      </c>
      <c r="K167" s="22">
        <v>1</v>
      </c>
      <c r="L167" s="22">
        <v>14</v>
      </c>
      <c r="M167" s="22">
        <v>14</v>
      </c>
      <c r="N167" s="22">
        <v>39</v>
      </c>
      <c r="O167" s="22">
        <v>103</v>
      </c>
      <c r="P167" s="23">
        <v>12</v>
      </c>
      <c r="Q167" s="22">
        <v>5</v>
      </c>
      <c r="R167" s="22">
        <v>5</v>
      </c>
      <c r="S167" s="22" t="s">
        <v>6</v>
      </c>
      <c r="T167" s="23">
        <v>1</v>
      </c>
      <c r="U167" s="22">
        <v>15</v>
      </c>
      <c r="V167" s="22">
        <v>15</v>
      </c>
      <c r="W167" s="22" t="s">
        <v>6</v>
      </c>
      <c r="X167" s="22" t="s">
        <v>198</v>
      </c>
      <c r="Y167" s="22" t="s">
        <v>27</v>
      </c>
      <c r="Z167" s="22" t="s">
        <v>6</v>
      </c>
      <c r="AA167" s="22">
        <f>2/5%</f>
        <v>40</v>
      </c>
      <c r="AB167" s="22" t="s">
        <v>6</v>
      </c>
      <c r="AC167" s="22">
        <f t="shared" si="1"/>
        <v>60</v>
      </c>
      <c r="AD167" s="22" t="s">
        <v>6</v>
      </c>
      <c r="AE167" s="22" t="s">
        <v>322</v>
      </c>
      <c r="AF167" s="22" t="s">
        <v>324</v>
      </c>
      <c r="AG167" s="22" t="s">
        <v>325</v>
      </c>
      <c r="AH167" s="30" t="b">
        <v>0</v>
      </c>
      <c r="AI167" s="22" t="s">
        <v>6</v>
      </c>
      <c r="AJ167" s="22" t="s">
        <v>326</v>
      </c>
    </row>
    <row r="168" spans="1:36" x14ac:dyDescent="0.25">
      <c r="A168" s="22" t="s">
        <v>758</v>
      </c>
      <c r="B168" s="22" t="s">
        <v>309</v>
      </c>
      <c r="C168" s="22">
        <v>1</v>
      </c>
      <c r="D168" s="22" t="s">
        <v>161</v>
      </c>
      <c r="E168" s="22" t="s">
        <v>310</v>
      </c>
      <c r="F168" s="22" t="s">
        <v>733</v>
      </c>
      <c r="G168" s="22" t="s">
        <v>6</v>
      </c>
      <c r="H168" s="22" t="s">
        <v>6</v>
      </c>
      <c r="I168" s="22" t="s">
        <v>6</v>
      </c>
      <c r="J168" s="22" t="s">
        <v>777</v>
      </c>
      <c r="K168" s="22">
        <v>1</v>
      </c>
      <c r="L168" s="22">
        <v>14</v>
      </c>
      <c r="M168" s="22">
        <v>14</v>
      </c>
      <c r="N168" s="22">
        <v>39</v>
      </c>
      <c r="O168" s="22">
        <v>103</v>
      </c>
      <c r="P168" s="23">
        <v>13</v>
      </c>
      <c r="Q168" s="22">
        <v>4</v>
      </c>
      <c r="R168" s="22">
        <v>4</v>
      </c>
      <c r="S168" s="22" t="s">
        <v>6</v>
      </c>
      <c r="T168" s="23">
        <v>1</v>
      </c>
      <c r="U168" s="22">
        <v>15</v>
      </c>
      <c r="V168" s="22">
        <v>15</v>
      </c>
      <c r="W168" s="22" t="s">
        <v>6</v>
      </c>
      <c r="X168" s="22" t="s">
        <v>198</v>
      </c>
      <c r="Y168" s="22" t="s">
        <v>27</v>
      </c>
      <c r="Z168" s="22" t="s">
        <v>6</v>
      </c>
      <c r="AA168" s="22">
        <f>1/4%</f>
        <v>25</v>
      </c>
      <c r="AB168" s="22" t="s">
        <v>6</v>
      </c>
      <c r="AC168" s="22">
        <f t="shared" si="1"/>
        <v>60</v>
      </c>
      <c r="AD168" s="22" t="s">
        <v>6</v>
      </c>
      <c r="AE168" s="22" t="s">
        <v>323</v>
      </c>
      <c r="AF168" s="22" t="s">
        <v>324</v>
      </c>
      <c r="AG168" s="22" t="s">
        <v>325</v>
      </c>
      <c r="AH168" s="30" t="b">
        <v>0</v>
      </c>
      <c r="AI168" s="22" t="s">
        <v>6</v>
      </c>
      <c r="AJ168" s="22" t="s">
        <v>326</v>
      </c>
    </row>
    <row r="169" spans="1:36" x14ac:dyDescent="0.25">
      <c r="A169" s="22" t="s">
        <v>758</v>
      </c>
      <c r="B169" s="22" t="s">
        <v>309</v>
      </c>
      <c r="C169" s="22">
        <v>1</v>
      </c>
      <c r="D169" s="22" t="s">
        <v>161</v>
      </c>
      <c r="E169" s="22" t="s">
        <v>310</v>
      </c>
      <c r="F169" s="22" t="s">
        <v>733</v>
      </c>
      <c r="G169" s="22" t="s">
        <v>6</v>
      </c>
      <c r="H169" s="22" t="s">
        <v>6</v>
      </c>
      <c r="I169" s="22" t="s">
        <v>6</v>
      </c>
      <c r="J169" s="22" t="s">
        <v>773</v>
      </c>
      <c r="K169" s="22">
        <v>1</v>
      </c>
      <c r="L169" s="22">
        <v>14</v>
      </c>
      <c r="M169" s="22">
        <v>14</v>
      </c>
      <c r="N169" s="22">
        <v>39</v>
      </c>
      <c r="O169" s="22">
        <v>104</v>
      </c>
      <c r="P169" s="23">
        <v>1</v>
      </c>
      <c r="Q169" s="22">
        <v>2</v>
      </c>
      <c r="R169" s="22">
        <v>2</v>
      </c>
      <c r="S169" s="22">
        <v>2</v>
      </c>
      <c r="T169" s="23">
        <v>1</v>
      </c>
      <c r="U169" s="22">
        <v>9</v>
      </c>
      <c r="V169" s="22">
        <v>9</v>
      </c>
      <c r="W169" s="22">
        <v>9</v>
      </c>
      <c r="X169" s="22" t="s">
        <v>201</v>
      </c>
      <c r="Y169" s="22" t="s">
        <v>327</v>
      </c>
      <c r="Z169" s="22" t="s">
        <v>133</v>
      </c>
      <c r="AA169" s="22">
        <v>233.2758</v>
      </c>
      <c r="AB169" s="22">
        <v>293.69121000000001</v>
      </c>
      <c r="AC169" s="22">
        <v>5740.3302999999996</v>
      </c>
      <c r="AD169" s="22">
        <v>15949.672619999999</v>
      </c>
      <c r="AE169" s="22" t="s">
        <v>311</v>
      </c>
      <c r="AF169" s="22" t="s">
        <v>324</v>
      </c>
      <c r="AG169" s="22" t="s">
        <v>325</v>
      </c>
      <c r="AH169" s="30" t="b">
        <v>0</v>
      </c>
      <c r="AI169" s="22" t="s">
        <v>6</v>
      </c>
      <c r="AJ169" s="22" t="s">
        <v>337</v>
      </c>
    </row>
    <row r="170" spans="1:36" x14ac:dyDescent="0.25">
      <c r="A170" s="22" t="s">
        <v>758</v>
      </c>
      <c r="B170" s="22" t="s">
        <v>309</v>
      </c>
      <c r="C170" s="22">
        <v>1</v>
      </c>
      <c r="D170" s="22" t="s">
        <v>161</v>
      </c>
      <c r="E170" s="22" t="s">
        <v>310</v>
      </c>
      <c r="F170" s="22" t="s">
        <v>733</v>
      </c>
      <c r="G170" s="22" t="s">
        <v>6</v>
      </c>
      <c r="H170" s="22" t="s">
        <v>6</v>
      </c>
      <c r="I170" s="22" t="s">
        <v>6</v>
      </c>
      <c r="J170" s="22" t="s">
        <v>773</v>
      </c>
      <c r="K170" s="22">
        <v>1</v>
      </c>
      <c r="L170" s="22">
        <v>14</v>
      </c>
      <c r="M170" s="22">
        <v>14</v>
      </c>
      <c r="N170" s="22">
        <v>39</v>
      </c>
      <c r="O170" s="22">
        <v>104</v>
      </c>
      <c r="P170" s="23">
        <v>2</v>
      </c>
      <c r="Q170" s="22">
        <v>2</v>
      </c>
      <c r="R170" s="22">
        <v>2</v>
      </c>
      <c r="S170" s="22">
        <v>2</v>
      </c>
      <c r="T170" s="23">
        <v>1</v>
      </c>
      <c r="U170" s="22">
        <v>9</v>
      </c>
      <c r="V170" s="22">
        <v>9</v>
      </c>
      <c r="W170" s="22">
        <v>9</v>
      </c>
      <c r="X170" s="22" t="s">
        <v>201</v>
      </c>
      <c r="Y170" s="22" t="s">
        <v>327</v>
      </c>
      <c r="Z170" s="22" t="s">
        <v>133</v>
      </c>
      <c r="AA170" s="22">
        <v>155.68</v>
      </c>
      <c r="AB170" s="22">
        <v>175.85245</v>
      </c>
      <c r="AC170" s="22">
        <v>5740.3302999999996</v>
      </c>
      <c r="AD170" s="22">
        <v>15949.672619999999</v>
      </c>
      <c r="AE170" s="22" t="s">
        <v>312</v>
      </c>
      <c r="AF170" s="22" t="s">
        <v>324</v>
      </c>
      <c r="AG170" s="22" t="s">
        <v>325</v>
      </c>
      <c r="AH170" s="30" t="b">
        <v>0</v>
      </c>
      <c r="AI170" s="22" t="s">
        <v>6</v>
      </c>
      <c r="AJ170" s="22" t="s">
        <v>337</v>
      </c>
    </row>
    <row r="171" spans="1:36" x14ac:dyDescent="0.25">
      <c r="A171" s="22" t="s">
        <v>758</v>
      </c>
      <c r="B171" s="22" t="s">
        <v>309</v>
      </c>
      <c r="C171" s="22">
        <v>1</v>
      </c>
      <c r="D171" s="22" t="s">
        <v>161</v>
      </c>
      <c r="E171" s="22" t="s">
        <v>310</v>
      </c>
      <c r="F171" s="22" t="s">
        <v>733</v>
      </c>
      <c r="G171" s="22" t="s">
        <v>6</v>
      </c>
      <c r="H171" s="22" t="s">
        <v>6</v>
      </c>
      <c r="I171" s="22" t="s">
        <v>6</v>
      </c>
      <c r="J171" s="22" t="s">
        <v>773</v>
      </c>
      <c r="K171" s="22">
        <v>1</v>
      </c>
      <c r="L171" s="22">
        <v>14</v>
      </c>
      <c r="M171" s="22">
        <v>14</v>
      </c>
      <c r="N171" s="22">
        <v>39</v>
      </c>
      <c r="O171" s="22">
        <v>104</v>
      </c>
      <c r="P171" s="23">
        <v>3</v>
      </c>
      <c r="Q171" s="22">
        <v>3</v>
      </c>
      <c r="R171" s="22">
        <v>3</v>
      </c>
      <c r="S171" s="22">
        <v>3</v>
      </c>
      <c r="T171" s="23">
        <v>1</v>
      </c>
      <c r="U171" s="22">
        <v>9</v>
      </c>
      <c r="V171" s="22">
        <v>9</v>
      </c>
      <c r="W171" s="22">
        <v>9</v>
      </c>
      <c r="X171" s="22" t="s">
        <v>201</v>
      </c>
      <c r="Y171" s="22" t="s">
        <v>327</v>
      </c>
      <c r="Z171" s="22" t="s">
        <v>133</v>
      </c>
      <c r="AA171" s="22">
        <v>417.18060000000003</v>
      </c>
      <c r="AB171" s="22">
        <v>102.27927</v>
      </c>
      <c r="AC171" s="22">
        <v>5740.3302999999996</v>
      </c>
      <c r="AD171" s="22">
        <v>15949.672619999999</v>
      </c>
      <c r="AE171" s="22" t="s">
        <v>313</v>
      </c>
      <c r="AF171" s="22" t="s">
        <v>324</v>
      </c>
      <c r="AG171" s="22" t="s">
        <v>325</v>
      </c>
      <c r="AH171" s="30" t="b">
        <v>0</v>
      </c>
      <c r="AI171" s="22" t="s">
        <v>6</v>
      </c>
      <c r="AJ171" s="22" t="s">
        <v>337</v>
      </c>
    </row>
    <row r="172" spans="1:36" x14ac:dyDescent="0.25">
      <c r="A172" s="22" t="s">
        <v>758</v>
      </c>
      <c r="B172" s="22" t="s">
        <v>309</v>
      </c>
      <c r="C172" s="22">
        <v>1</v>
      </c>
      <c r="D172" s="22" t="s">
        <v>161</v>
      </c>
      <c r="E172" s="22" t="s">
        <v>310</v>
      </c>
      <c r="F172" s="22" t="s">
        <v>733</v>
      </c>
      <c r="G172" s="22" t="s">
        <v>6</v>
      </c>
      <c r="H172" s="22" t="s">
        <v>6</v>
      </c>
      <c r="I172" s="22" t="s">
        <v>6</v>
      </c>
      <c r="J172" s="22" t="s">
        <v>773</v>
      </c>
      <c r="K172" s="22">
        <v>1</v>
      </c>
      <c r="L172" s="22">
        <v>14</v>
      </c>
      <c r="M172" s="22">
        <v>14</v>
      </c>
      <c r="N172" s="22">
        <v>39</v>
      </c>
      <c r="O172" s="22">
        <v>104</v>
      </c>
      <c r="P172" s="23">
        <v>5</v>
      </c>
      <c r="Q172" s="22">
        <v>2</v>
      </c>
      <c r="R172" s="22">
        <v>2</v>
      </c>
      <c r="S172" s="22">
        <v>2</v>
      </c>
      <c r="T172" s="23">
        <v>1</v>
      </c>
      <c r="U172" s="22">
        <v>9</v>
      </c>
      <c r="V172" s="22">
        <v>9</v>
      </c>
      <c r="W172" s="22">
        <v>9</v>
      </c>
      <c r="X172" s="22" t="s">
        <v>201</v>
      </c>
      <c r="Y172" s="22" t="s">
        <v>327</v>
      </c>
      <c r="Z172" s="22" t="s">
        <v>133</v>
      </c>
      <c r="AA172" s="22">
        <v>532.31759999999997</v>
      </c>
      <c r="AB172" s="22">
        <v>189.5882</v>
      </c>
      <c r="AC172" s="22">
        <v>5740.3302999999996</v>
      </c>
      <c r="AD172" s="22">
        <v>15949.672619999999</v>
      </c>
      <c r="AE172" s="22" t="s">
        <v>315</v>
      </c>
      <c r="AF172" s="22" t="s">
        <v>324</v>
      </c>
      <c r="AG172" s="22" t="s">
        <v>325</v>
      </c>
      <c r="AH172" s="30" t="b">
        <v>0</v>
      </c>
      <c r="AI172" s="22" t="s">
        <v>6</v>
      </c>
      <c r="AJ172" s="22" t="s">
        <v>337</v>
      </c>
    </row>
    <row r="173" spans="1:36" x14ac:dyDescent="0.25">
      <c r="A173" s="22" t="s">
        <v>758</v>
      </c>
      <c r="B173" s="22" t="s">
        <v>309</v>
      </c>
      <c r="C173" s="22">
        <v>1</v>
      </c>
      <c r="D173" s="22" t="s">
        <v>161</v>
      </c>
      <c r="E173" s="22" t="s">
        <v>310</v>
      </c>
      <c r="F173" s="22" t="s">
        <v>733</v>
      </c>
      <c r="G173" s="22" t="s">
        <v>6</v>
      </c>
      <c r="H173" s="22" t="s">
        <v>6</v>
      </c>
      <c r="I173" s="22" t="s">
        <v>6</v>
      </c>
      <c r="J173" s="22" t="s">
        <v>773</v>
      </c>
      <c r="K173" s="22">
        <v>1</v>
      </c>
      <c r="L173" s="22">
        <v>14</v>
      </c>
      <c r="M173" s="22">
        <v>14</v>
      </c>
      <c r="N173" s="22">
        <v>39</v>
      </c>
      <c r="O173" s="22">
        <v>104</v>
      </c>
      <c r="P173" s="23">
        <v>6</v>
      </c>
      <c r="Q173" s="22">
        <v>2</v>
      </c>
      <c r="R173" s="22">
        <v>2</v>
      </c>
      <c r="S173" s="22">
        <v>2</v>
      </c>
      <c r="T173" s="23">
        <v>1</v>
      </c>
      <c r="U173" s="22">
        <v>9</v>
      </c>
      <c r="V173" s="22">
        <v>9</v>
      </c>
      <c r="W173" s="22">
        <v>9</v>
      </c>
      <c r="X173" s="22" t="s">
        <v>201</v>
      </c>
      <c r="Y173" s="22" t="s">
        <v>327</v>
      </c>
      <c r="Z173" s="22" t="s">
        <v>133</v>
      </c>
      <c r="AA173" s="22">
        <v>150.58860000000001</v>
      </c>
      <c r="AB173" s="22">
        <v>172.23763</v>
      </c>
      <c r="AC173" s="22">
        <v>5740.3302999999996</v>
      </c>
      <c r="AD173" s="22">
        <v>15949.672619999999</v>
      </c>
      <c r="AE173" s="22" t="s">
        <v>316</v>
      </c>
      <c r="AF173" s="22" t="s">
        <v>324</v>
      </c>
      <c r="AG173" s="22" t="s">
        <v>325</v>
      </c>
      <c r="AH173" s="30" t="b">
        <v>0</v>
      </c>
      <c r="AI173" s="22" t="s">
        <v>6</v>
      </c>
      <c r="AJ173" s="22" t="s">
        <v>337</v>
      </c>
    </row>
    <row r="174" spans="1:36" x14ac:dyDescent="0.25">
      <c r="A174" s="22" t="s">
        <v>758</v>
      </c>
      <c r="B174" s="22" t="s">
        <v>309</v>
      </c>
      <c r="C174" s="22">
        <v>1</v>
      </c>
      <c r="D174" s="22" t="s">
        <v>161</v>
      </c>
      <c r="E174" s="22" t="s">
        <v>310</v>
      </c>
      <c r="F174" s="22" t="s">
        <v>733</v>
      </c>
      <c r="G174" s="22" t="s">
        <v>6</v>
      </c>
      <c r="H174" s="22" t="s">
        <v>6</v>
      </c>
      <c r="I174" s="22" t="s">
        <v>6</v>
      </c>
      <c r="J174" s="22" t="s">
        <v>773</v>
      </c>
      <c r="K174" s="22">
        <v>1</v>
      </c>
      <c r="L174" s="22">
        <v>14</v>
      </c>
      <c r="M174" s="22">
        <v>14</v>
      </c>
      <c r="N174" s="22">
        <v>39</v>
      </c>
      <c r="O174" s="22">
        <v>104</v>
      </c>
      <c r="P174" s="23">
        <v>7</v>
      </c>
      <c r="Q174" s="22">
        <v>3</v>
      </c>
      <c r="R174" s="22">
        <v>3</v>
      </c>
      <c r="S174" s="22">
        <v>3</v>
      </c>
      <c r="T174" s="23">
        <v>1</v>
      </c>
      <c r="U174" s="22">
        <v>9</v>
      </c>
      <c r="V174" s="22">
        <v>9</v>
      </c>
      <c r="W174" s="22">
        <v>9</v>
      </c>
      <c r="X174" s="22" t="s">
        <v>201</v>
      </c>
      <c r="Y174" s="22" t="s">
        <v>327</v>
      </c>
      <c r="Z174" s="22" t="s">
        <v>133</v>
      </c>
      <c r="AA174" s="22">
        <v>288.85969999999998</v>
      </c>
      <c r="AB174" s="22">
        <v>77.441079999999999</v>
      </c>
      <c r="AC174" s="22">
        <v>5740.3302999999996</v>
      </c>
      <c r="AD174" s="22">
        <v>15949.672619999999</v>
      </c>
      <c r="AE174" s="22" t="s">
        <v>317</v>
      </c>
      <c r="AF174" s="22" t="s">
        <v>324</v>
      </c>
      <c r="AG174" s="22" t="s">
        <v>325</v>
      </c>
      <c r="AH174" s="30" t="b">
        <v>0</v>
      </c>
      <c r="AI174" s="22" t="s">
        <v>6</v>
      </c>
      <c r="AJ174" s="22" t="s">
        <v>337</v>
      </c>
    </row>
    <row r="175" spans="1:36" x14ac:dyDescent="0.25">
      <c r="A175" s="22" t="s">
        <v>758</v>
      </c>
      <c r="B175" s="22" t="s">
        <v>309</v>
      </c>
      <c r="C175" s="22">
        <v>1</v>
      </c>
      <c r="D175" s="22" t="s">
        <v>161</v>
      </c>
      <c r="E175" s="22" t="s">
        <v>310</v>
      </c>
      <c r="F175" s="22" t="s">
        <v>733</v>
      </c>
      <c r="G175" s="22" t="s">
        <v>6</v>
      </c>
      <c r="H175" s="22" t="s">
        <v>6</v>
      </c>
      <c r="I175" s="22" t="s">
        <v>6</v>
      </c>
      <c r="J175" s="22" t="s">
        <v>773</v>
      </c>
      <c r="K175" s="22">
        <v>1</v>
      </c>
      <c r="L175" s="22">
        <v>14</v>
      </c>
      <c r="M175" s="22">
        <v>14</v>
      </c>
      <c r="N175" s="22">
        <v>39</v>
      </c>
      <c r="O175" s="22">
        <v>104</v>
      </c>
      <c r="P175" s="23">
        <v>8</v>
      </c>
      <c r="Q175" s="22">
        <v>1</v>
      </c>
      <c r="R175" s="22">
        <v>1</v>
      </c>
      <c r="S175" s="22" t="s">
        <v>6</v>
      </c>
      <c r="T175" s="23">
        <v>1</v>
      </c>
      <c r="U175" s="22">
        <v>9</v>
      </c>
      <c r="V175" s="22">
        <v>9</v>
      </c>
      <c r="W175" s="22">
        <v>9</v>
      </c>
      <c r="X175" s="22" t="s">
        <v>201</v>
      </c>
      <c r="Y175" s="22" t="s">
        <v>327</v>
      </c>
      <c r="Z175" s="22" t="s">
        <v>133</v>
      </c>
      <c r="AA175" s="22">
        <v>647.14099999999996</v>
      </c>
      <c r="AB175" s="41" t="s">
        <v>6</v>
      </c>
      <c r="AC175" s="22">
        <v>5740.3302999999996</v>
      </c>
      <c r="AD175" s="22">
        <v>15949.672619999999</v>
      </c>
      <c r="AE175" s="22" t="s">
        <v>318</v>
      </c>
      <c r="AF175" s="22" t="s">
        <v>324</v>
      </c>
      <c r="AG175" s="22" t="s">
        <v>325</v>
      </c>
      <c r="AH175" s="30" t="b">
        <v>0</v>
      </c>
      <c r="AI175" s="22" t="s">
        <v>6</v>
      </c>
      <c r="AJ175" s="22" t="s">
        <v>337</v>
      </c>
    </row>
    <row r="176" spans="1:36" x14ac:dyDescent="0.25">
      <c r="A176" s="22" t="s">
        <v>758</v>
      </c>
      <c r="B176" s="22" t="s">
        <v>309</v>
      </c>
      <c r="C176" s="22">
        <v>1</v>
      </c>
      <c r="D176" s="22" t="s">
        <v>161</v>
      </c>
      <c r="E176" s="22" t="s">
        <v>310</v>
      </c>
      <c r="F176" s="22" t="s">
        <v>733</v>
      </c>
      <c r="G176" s="22" t="s">
        <v>6</v>
      </c>
      <c r="H176" s="22" t="s">
        <v>6</v>
      </c>
      <c r="I176" s="22" t="s">
        <v>6</v>
      </c>
      <c r="J176" s="22" t="s">
        <v>773</v>
      </c>
      <c r="K176" s="22">
        <v>1</v>
      </c>
      <c r="L176" s="22">
        <v>14</v>
      </c>
      <c r="M176" s="22">
        <v>14</v>
      </c>
      <c r="N176" s="22">
        <v>39</v>
      </c>
      <c r="O176" s="22">
        <v>104</v>
      </c>
      <c r="P176" s="23">
        <v>12</v>
      </c>
      <c r="Q176" s="22">
        <v>2</v>
      </c>
      <c r="R176" s="22">
        <v>2</v>
      </c>
      <c r="S176" s="22">
        <v>2</v>
      </c>
      <c r="T176" s="23">
        <v>1</v>
      </c>
      <c r="U176" s="22">
        <v>9</v>
      </c>
      <c r="V176" s="22">
        <v>9</v>
      </c>
      <c r="W176" s="22">
        <v>9</v>
      </c>
      <c r="X176" s="22" t="s">
        <v>201</v>
      </c>
      <c r="Y176" s="22" t="s">
        <v>327</v>
      </c>
      <c r="Z176" s="22" t="s">
        <v>133</v>
      </c>
      <c r="AA176" s="22">
        <v>383.89580000000001</v>
      </c>
      <c r="AB176" s="42">
        <v>63.679560000000002</v>
      </c>
      <c r="AC176" s="22">
        <v>5740.3302999999996</v>
      </c>
      <c r="AD176" s="22">
        <v>15949.672619999999</v>
      </c>
      <c r="AE176" s="22" t="s">
        <v>322</v>
      </c>
      <c r="AF176" s="22" t="s">
        <v>324</v>
      </c>
      <c r="AG176" s="22" t="s">
        <v>325</v>
      </c>
      <c r="AH176" s="30" t="b">
        <v>0</v>
      </c>
      <c r="AI176" s="22" t="s">
        <v>6</v>
      </c>
      <c r="AJ176" s="22" t="s">
        <v>337</v>
      </c>
    </row>
    <row r="177" spans="1:36" x14ac:dyDescent="0.25">
      <c r="A177" s="22" t="s">
        <v>758</v>
      </c>
      <c r="B177" s="22" t="s">
        <v>309</v>
      </c>
      <c r="C177" s="22">
        <v>1</v>
      </c>
      <c r="D177" s="22" t="s">
        <v>161</v>
      </c>
      <c r="E177" s="22" t="s">
        <v>310</v>
      </c>
      <c r="F177" s="22" t="s">
        <v>733</v>
      </c>
      <c r="G177" s="22" t="s">
        <v>6</v>
      </c>
      <c r="H177" s="22" t="s">
        <v>6</v>
      </c>
      <c r="I177" s="22" t="s">
        <v>6</v>
      </c>
      <c r="J177" s="22" t="s">
        <v>773</v>
      </c>
      <c r="K177" s="22">
        <v>1</v>
      </c>
      <c r="L177" s="22">
        <v>14</v>
      </c>
      <c r="M177" s="22">
        <v>14</v>
      </c>
      <c r="N177" s="22">
        <v>39</v>
      </c>
      <c r="O177" s="22">
        <v>104</v>
      </c>
      <c r="P177" s="23">
        <v>13</v>
      </c>
      <c r="Q177" s="22">
        <v>1</v>
      </c>
      <c r="R177" s="22">
        <v>1</v>
      </c>
      <c r="S177" s="22" t="s">
        <v>6</v>
      </c>
      <c r="T177" s="23">
        <v>1</v>
      </c>
      <c r="U177" s="22">
        <v>9</v>
      </c>
      <c r="V177" s="22">
        <v>9</v>
      </c>
      <c r="W177" s="22">
        <v>9</v>
      </c>
      <c r="X177" s="22" t="s">
        <v>201</v>
      </c>
      <c r="Y177" s="22" t="s">
        <v>327</v>
      </c>
      <c r="Z177" s="22" t="s">
        <v>133</v>
      </c>
      <c r="AA177" s="22">
        <v>209.58430000000001</v>
      </c>
      <c r="AB177" s="41" t="s">
        <v>6</v>
      </c>
      <c r="AC177" s="22">
        <v>5740.3302999999996</v>
      </c>
      <c r="AD177" s="22">
        <v>15949.672619999999</v>
      </c>
      <c r="AE177" s="22" t="s">
        <v>323</v>
      </c>
      <c r="AF177" s="22" t="s">
        <v>324</v>
      </c>
      <c r="AG177" s="22" t="s">
        <v>325</v>
      </c>
      <c r="AH177" s="30" t="b">
        <v>0</v>
      </c>
      <c r="AI177" s="22" t="s">
        <v>6</v>
      </c>
      <c r="AJ177" s="22" t="s">
        <v>337</v>
      </c>
    </row>
    <row r="178" spans="1:36" x14ac:dyDescent="0.25">
      <c r="A178" s="22" t="s">
        <v>758</v>
      </c>
      <c r="B178" s="22" t="s">
        <v>309</v>
      </c>
      <c r="C178" s="22">
        <v>2</v>
      </c>
      <c r="D178" s="22" t="s">
        <v>161</v>
      </c>
      <c r="E178" s="22" t="s">
        <v>310</v>
      </c>
      <c r="F178" s="22" t="s">
        <v>733</v>
      </c>
      <c r="G178" s="22" t="s">
        <v>6</v>
      </c>
      <c r="H178" s="22" t="s">
        <v>6</v>
      </c>
      <c r="I178" s="22" t="s">
        <v>6</v>
      </c>
      <c r="J178" s="22" t="s">
        <v>24</v>
      </c>
      <c r="K178" s="22" t="s">
        <v>6</v>
      </c>
      <c r="L178" s="22">
        <v>24</v>
      </c>
      <c r="M178" s="22">
        <v>24</v>
      </c>
      <c r="N178" s="22">
        <v>40</v>
      </c>
      <c r="O178" s="22">
        <v>105</v>
      </c>
      <c r="P178" s="23">
        <v>1</v>
      </c>
      <c r="Q178" s="22">
        <v>8</v>
      </c>
      <c r="R178" s="22">
        <v>8</v>
      </c>
      <c r="S178" s="22" t="s">
        <v>6</v>
      </c>
      <c r="T178" s="23">
        <v>1</v>
      </c>
      <c r="U178" s="22">
        <v>18</v>
      </c>
      <c r="V178" s="22">
        <v>18</v>
      </c>
      <c r="W178" s="22" t="s">
        <v>6</v>
      </c>
      <c r="X178" s="22" t="s">
        <v>205</v>
      </c>
      <c r="Y178" s="22" t="s">
        <v>27</v>
      </c>
      <c r="Z178" s="22" t="s">
        <v>6</v>
      </c>
      <c r="AA178" s="22">
        <f>1/8%</f>
        <v>12.5</v>
      </c>
      <c r="AB178" s="22" t="s">
        <v>6</v>
      </c>
      <c r="AC178" s="22">
        <f t="shared" ref="AC178:AC186" si="2">2/18%</f>
        <v>11.111111111111111</v>
      </c>
      <c r="AD178" s="22" t="s">
        <v>6</v>
      </c>
      <c r="AE178" s="22" t="s">
        <v>311</v>
      </c>
      <c r="AF178" s="22" t="s">
        <v>332</v>
      </c>
      <c r="AG178" s="22" t="s">
        <v>325</v>
      </c>
      <c r="AH178" s="30" t="b">
        <v>0</v>
      </c>
      <c r="AI178" s="22" t="s">
        <v>6</v>
      </c>
      <c r="AJ178" s="22" t="s">
        <v>782</v>
      </c>
    </row>
    <row r="179" spans="1:36" x14ac:dyDescent="0.25">
      <c r="A179" s="22" t="s">
        <v>758</v>
      </c>
      <c r="B179" s="22" t="s">
        <v>309</v>
      </c>
      <c r="C179" s="22">
        <v>2</v>
      </c>
      <c r="D179" s="22" t="s">
        <v>161</v>
      </c>
      <c r="E179" s="22" t="s">
        <v>310</v>
      </c>
      <c r="F179" s="22" t="s">
        <v>733</v>
      </c>
      <c r="G179" s="22" t="s">
        <v>6</v>
      </c>
      <c r="H179" s="22" t="s">
        <v>6</v>
      </c>
      <c r="I179" s="22" t="s">
        <v>6</v>
      </c>
      <c r="J179" s="22" t="s">
        <v>24</v>
      </c>
      <c r="K179" s="22" t="s">
        <v>6</v>
      </c>
      <c r="L179" s="22">
        <v>24</v>
      </c>
      <c r="M179" s="22">
        <v>24</v>
      </c>
      <c r="N179" s="22">
        <v>40</v>
      </c>
      <c r="O179" s="22">
        <v>105</v>
      </c>
      <c r="P179" s="23">
        <v>2</v>
      </c>
      <c r="Q179" s="22">
        <v>8</v>
      </c>
      <c r="R179" s="22">
        <v>8</v>
      </c>
      <c r="S179" s="22" t="s">
        <v>6</v>
      </c>
      <c r="T179" s="23">
        <v>1</v>
      </c>
      <c r="U179" s="22">
        <v>18</v>
      </c>
      <c r="V179" s="22">
        <v>18</v>
      </c>
      <c r="W179" s="22" t="s">
        <v>6</v>
      </c>
      <c r="X179" s="22" t="s">
        <v>205</v>
      </c>
      <c r="Y179" s="22" t="s">
        <v>27</v>
      </c>
      <c r="Z179" s="22" t="s">
        <v>6</v>
      </c>
      <c r="AA179" s="22">
        <f>3/8%</f>
        <v>37.5</v>
      </c>
      <c r="AB179" s="22" t="s">
        <v>6</v>
      </c>
      <c r="AC179" s="22">
        <f t="shared" si="2"/>
        <v>11.111111111111111</v>
      </c>
      <c r="AD179" s="22" t="s">
        <v>6</v>
      </c>
      <c r="AE179" s="22" t="s">
        <v>328</v>
      </c>
      <c r="AF179" s="22" t="s">
        <v>332</v>
      </c>
      <c r="AG179" s="22" t="s">
        <v>325</v>
      </c>
      <c r="AH179" s="30" t="b">
        <v>0</v>
      </c>
      <c r="AI179" s="22" t="s">
        <v>6</v>
      </c>
      <c r="AJ179" s="22" t="s">
        <v>782</v>
      </c>
    </row>
    <row r="180" spans="1:36" x14ac:dyDescent="0.25">
      <c r="A180" s="22" t="s">
        <v>758</v>
      </c>
      <c r="B180" s="22" t="s">
        <v>309</v>
      </c>
      <c r="C180" s="22">
        <v>2</v>
      </c>
      <c r="D180" s="22" t="s">
        <v>161</v>
      </c>
      <c r="E180" s="22" t="s">
        <v>310</v>
      </c>
      <c r="F180" s="22" t="s">
        <v>733</v>
      </c>
      <c r="G180" s="22" t="s">
        <v>6</v>
      </c>
      <c r="H180" s="22" t="s">
        <v>6</v>
      </c>
      <c r="I180" s="22" t="s">
        <v>6</v>
      </c>
      <c r="J180" s="22" t="s">
        <v>24</v>
      </c>
      <c r="K180" s="22" t="s">
        <v>6</v>
      </c>
      <c r="L180" s="22">
        <v>24</v>
      </c>
      <c r="M180" s="22">
        <v>24</v>
      </c>
      <c r="N180" s="22">
        <v>40</v>
      </c>
      <c r="O180" s="22">
        <v>105</v>
      </c>
      <c r="P180" s="23">
        <v>3</v>
      </c>
      <c r="Q180" s="22">
        <v>10</v>
      </c>
      <c r="R180" s="22">
        <v>10</v>
      </c>
      <c r="S180" s="22" t="s">
        <v>6</v>
      </c>
      <c r="T180" s="23">
        <v>1</v>
      </c>
      <c r="U180" s="22">
        <v>18</v>
      </c>
      <c r="V180" s="22">
        <v>18</v>
      </c>
      <c r="W180" s="22" t="s">
        <v>6</v>
      </c>
      <c r="X180" s="22" t="s">
        <v>205</v>
      </c>
      <c r="Y180" s="22" t="s">
        <v>27</v>
      </c>
      <c r="Z180" s="22" t="s">
        <v>6</v>
      </c>
      <c r="AA180" s="22">
        <f>0/10%</f>
        <v>0</v>
      </c>
      <c r="AB180" s="22" t="s">
        <v>6</v>
      </c>
      <c r="AC180" s="22">
        <f t="shared" si="2"/>
        <v>11.111111111111111</v>
      </c>
      <c r="AD180" s="22" t="s">
        <v>6</v>
      </c>
      <c r="AE180" s="22" t="s">
        <v>312</v>
      </c>
      <c r="AF180" s="22" t="s">
        <v>332</v>
      </c>
      <c r="AG180" s="22" t="s">
        <v>325</v>
      </c>
      <c r="AH180" s="30" t="b">
        <v>0</v>
      </c>
      <c r="AI180" s="22" t="s">
        <v>6</v>
      </c>
      <c r="AJ180" s="22" t="s">
        <v>782</v>
      </c>
    </row>
    <row r="181" spans="1:36" x14ac:dyDescent="0.25">
      <c r="A181" s="22" t="s">
        <v>758</v>
      </c>
      <c r="B181" s="22" t="s">
        <v>309</v>
      </c>
      <c r="C181" s="22">
        <v>2</v>
      </c>
      <c r="D181" s="22" t="s">
        <v>161</v>
      </c>
      <c r="E181" s="22" t="s">
        <v>310</v>
      </c>
      <c r="F181" s="22" t="s">
        <v>733</v>
      </c>
      <c r="G181" s="22" t="s">
        <v>6</v>
      </c>
      <c r="H181" s="22" t="s">
        <v>6</v>
      </c>
      <c r="I181" s="22" t="s">
        <v>6</v>
      </c>
      <c r="J181" s="22" t="s">
        <v>24</v>
      </c>
      <c r="K181" s="22" t="s">
        <v>6</v>
      </c>
      <c r="L181" s="22">
        <v>24</v>
      </c>
      <c r="M181" s="22">
        <v>24</v>
      </c>
      <c r="N181" s="22">
        <v>40</v>
      </c>
      <c r="O181" s="22">
        <v>105</v>
      </c>
      <c r="P181" s="23">
        <v>4</v>
      </c>
      <c r="Q181" s="22">
        <v>7</v>
      </c>
      <c r="R181" s="22">
        <v>7</v>
      </c>
      <c r="S181" s="22" t="s">
        <v>6</v>
      </c>
      <c r="T181" s="23">
        <v>1</v>
      </c>
      <c r="U181" s="22">
        <v>18</v>
      </c>
      <c r="V181" s="22">
        <v>18</v>
      </c>
      <c r="W181" s="22" t="s">
        <v>6</v>
      </c>
      <c r="X181" s="22" t="s">
        <v>205</v>
      </c>
      <c r="Y181" s="22" t="s">
        <v>27</v>
      </c>
      <c r="Z181" s="22" t="s">
        <v>6</v>
      </c>
      <c r="AA181" s="22">
        <f>2/7%</f>
        <v>28.571428571428569</v>
      </c>
      <c r="AB181" s="22" t="s">
        <v>6</v>
      </c>
      <c r="AC181" s="22">
        <f t="shared" si="2"/>
        <v>11.111111111111111</v>
      </c>
      <c r="AD181" s="22" t="s">
        <v>6</v>
      </c>
      <c r="AE181" s="22" t="s">
        <v>329</v>
      </c>
      <c r="AF181" s="22" t="s">
        <v>332</v>
      </c>
      <c r="AG181" s="22" t="s">
        <v>325</v>
      </c>
      <c r="AH181" s="30" t="b">
        <v>0</v>
      </c>
      <c r="AI181" s="22" t="s">
        <v>6</v>
      </c>
      <c r="AJ181" s="22" t="s">
        <v>782</v>
      </c>
    </row>
    <row r="182" spans="1:36" x14ac:dyDescent="0.25">
      <c r="A182" s="22" t="s">
        <v>758</v>
      </c>
      <c r="B182" s="22" t="s">
        <v>309</v>
      </c>
      <c r="C182" s="22">
        <v>2</v>
      </c>
      <c r="D182" s="22" t="s">
        <v>161</v>
      </c>
      <c r="E182" s="22" t="s">
        <v>310</v>
      </c>
      <c r="F182" s="22" t="s">
        <v>733</v>
      </c>
      <c r="G182" s="22" t="s">
        <v>6</v>
      </c>
      <c r="H182" s="22" t="s">
        <v>6</v>
      </c>
      <c r="I182" s="22" t="s">
        <v>6</v>
      </c>
      <c r="J182" s="22" t="s">
        <v>24</v>
      </c>
      <c r="K182" s="22" t="s">
        <v>6</v>
      </c>
      <c r="L182" s="22">
        <v>24</v>
      </c>
      <c r="M182" s="22">
        <v>24</v>
      </c>
      <c r="N182" s="22">
        <v>40</v>
      </c>
      <c r="O182" s="22">
        <v>105</v>
      </c>
      <c r="P182" s="23">
        <v>5</v>
      </c>
      <c r="Q182" s="22">
        <v>9</v>
      </c>
      <c r="R182" s="22">
        <v>9</v>
      </c>
      <c r="S182" s="22" t="s">
        <v>6</v>
      </c>
      <c r="T182" s="23">
        <v>1</v>
      </c>
      <c r="U182" s="22">
        <v>18</v>
      </c>
      <c r="V182" s="22">
        <v>18</v>
      </c>
      <c r="W182" s="22" t="s">
        <v>6</v>
      </c>
      <c r="X182" s="22" t="s">
        <v>205</v>
      </c>
      <c r="Y182" s="22" t="s">
        <v>27</v>
      </c>
      <c r="Z182" s="22" t="s">
        <v>6</v>
      </c>
      <c r="AA182" s="22">
        <f>1/9%</f>
        <v>11.111111111111111</v>
      </c>
      <c r="AB182" s="22" t="s">
        <v>6</v>
      </c>
      <c r="AC182" s="22">
        <f t="shared" si="2"/>
        <v>11.111111111111111</v>
      </c>
      <c r="AD182" s="22" t="s">
        <v>6</v>
      </c>
      <c r="AE182" s="22" t="s">
        <v>330</v>
      </c>
      <c r="AF182" s="22" t="s">
        <v>332</v>
      </c>
      <c r="AG182" s="22" t="s">
        <v>325</v>
      </c>
      <c r="AH182" s="30" t="b">
        <v>0</v>
      </c>
      <c r="AI182" s="22" t="s">
        <v>6</v>
      </c>
      <c r="AJ182" s="22" t="s">
        <v>782</v>
      </c>
    </row>
    <row r="183" spans="1:36" x14ac:dyDescent="0.25">
      <c r="A183" s="22" t="s">
        <v>758</v>
      </c>
      <c r="B183" s="22" t="s">
        <v>309</v>
      </c>
      <c r="C183" s="22">
        <v>2</v>
      </c>
      <c r="D183" s="22" t="s">
        <v>161</v>
      </c>
      <c r="E183" s="22" t="s">
        <v>310</v>
      </c>
      <c r="F183" s="22" t="s">
        <v>733</v>
      </c>
      <c r="G183" s="22" t="s">
        <v>6</v>
      </c>
      <c r="H183" s="22" t="s">
        <v>6</v>
      </c>
      <c r="I183" s="22" t="s">
        <v>6</v>
      </c>
      <c r="J183" s="22" t="s">
        <v>24</v>
      </c>
      <c r="K183" s="22" t="s">
        <v>6</v>
      </c>
      <c r="L183" s="22">
        <v>24</v>
      </c>
      <c r="M183" s="22">
        <v>24</v>
      </c>
      <c r="N183" s="22">
        <v>40</v>
      </c>
      <c r="O183" s="22">
        <v>105</v>
      </c>
      <c r="P183" s="23">
        <v>6</v>
      </c>
      <c r="Q183" s="22">
        <v>9</v>
      </c>
      <c r="R183" s="22">
        <v>9</v>
      </c>
      <c r="S183" s="22" t="s">
        <v>6</v>
      </c>
      <c r="T183" s="23">
        <v>1</v>
      </c>
      <c r="U183" s="22">
        <v>18</v>
      </c>
      <c r="V183" s="22">
        <v>18</v>
      </c>
      <c r="W183" s="22" t="s">
        <v>6</v>
      </c>
      <c r="X183" s="22" t="s">
        <v>205</v>
      </c>
      <c r="Y183" s="22" t="s">
        <v>27</v>
      </c>
      <c r="Z183" s="22" t="s">
        <v>6</v>
      </c>
      <c r="AA183" s="22">
        <f>1/9%</f>
        <v>11.111111111111111</v>
      </c>
      <c r="AB183" s="22" t="s">
        <v>6</v>
      </c>
      <c r="AC183" s="22">
        <f t="shared" si="2"/>
        <v>11.111111111111111</v>
      </c>
      <c r="AD183" s="22" t="s">
        <v>6</v>
      </c>
      <c r="AE183" s="22" t="s">
        <v>314</v>
      </c>
      <c r="AF183" s="22" t="s">
        <v>332</v>
      </c>
      <c r="AG183" s="22" t="s">
        <v>325</v>
      </c>
      <c r="AH183" s="30" t="b">
        <v>0</v>
      </c>
      <c r="AI183" s="22" t="s">
        <v>6</v>
      </c>
      <c r="AJ183" s="22" t="s">
        <v>782</v>
      </c>
    </row>
    <row r="184" spans="1:36" x14ac:dyDescent="0.25">
      <c r="A184" s="22" t="s">
        <v>758</v>
      </c>
      <c r="B184" s="22" t="s">
        <v>309</v>
      </c>
      <c r="C184" s="22">
        <v>2</v>
      </c>
      <c r="D184" s="22" t="s">
        <v>161</v>
      </c>
      <c r="E184" s="22" t="s">
        <v>310</v>
      </c>
      <c r="F184" s="22" t="s">
        <v>733</v>
      </c>
      <c r="G184" s="22" t="s">
        <v>6</v>
      </c>
      <c r="H184" s="22" t="s">
        <v>6</v>
      </c>
      <c r="I184" s="22" t="s">
        <v>6</v>
      </c>
      <c r="J184" s="22" t="s">
        <v>24</v>
      </c>
      <c r="K184" s="22" t="s">
        <v>6</v>
      </c>
      <c r="L184" s="22">
        <v>24</v>
      </c>
      <c r="M184" s="22">
        <v>24</v>
      </c>
      <c r="N184" s="22">
        <v>40</v>
      </c>
      <c r="O184" s="22">
        <v>105</v>
      </c>
      <c r="P184" s="23">
        <v>7</v>
      </c>
      <c r="Q184" s="22">
        <v>10</v>
      </c>
      <c r="R184" s="22">
        <v>10</v>
      </c>
      <c r="S184" s="22" t="s">
        <v>6</v>
      </c>
      <c r="T184" s="23">
        <v>1</v>
      </c>
      <c r="U184" s="22">
        <v>18</v>
      </c>
      <c r="V184" s="22">
        <v>18</v>
      </c>
      <c r="W184" s="22" t="s">
        <v>6</v>
      </c>
      <c r="X184" s="22" t="s">
        <v>205</v>
      </c>
      <c r="Y184" s="22" t="s">
        <v>27</v>
      </c>
      <c r="Z184" s="22" t="s">
        <v>6</v>
      </c>
      <c r="AA184" s="22">
        <f>2/10%</f>
        <v>20</v>
      </c>
      <c r="AB184" s="22" t="s">
        <v>6</v>
      </c>
      <c r="AC184" s="22">
        <f t="shared" si="2"/>
        <v>11.111111111111111</v>
      </c>
      <c r="AD184" s="22" t="s">
        <v>6</v>
      </c>
      <c r="AE184" s="22" t="s">
        <v>331</v>
      </c>
      <c r="AF184" s="22" t="s">
        <v>332</v>
      </c>
      <c r="AG184" s="22" t="s">
        <v>325</v>
      </c>
      <c r="AH184" s="30" t="b">
        <v>0</v>
      </c>
      <c r="AI184" s="22" t="s">
        <v>6</v>
      </c>
      <c r="AJ184" s="22" t="s">
        <v>782</v>
      </c>
    </row>
    <row r="185" spans="1:36" x14ac:dyDescent="0.25">
      <c r="A185" s="22" t="s">
        <v>758</v>
      </c>
      <c r="B185" s="22" t="s">
        <v>309</v>
      </c>
      <c r="C185" s="22">
        <v>2</v>
      </c>
      <c r="D185" s="22" t="s">
        <v>161</v>
      </c>
      <c r="E185" s="22" t="s">
        <v>310</v>
      </c>
      <c r="F185" s="22" t="s">
        <v>733</v>
      </c>
      <c r="G185" s="22" t="s">
        <v>6</v>
      </c>
      <c r="H185" s="22" t="s">
        <v>6</v>
      </c>
      <c r="I185" s="22" t="s">
        <v>6</v>
      </c>
      <c r="J185" s="22" t="s">
        <v>24</v>
      </c>
      <c r="K185" s="22" t="s">
        <v>6</v>
      </c>
      <c r="L185" s="22">
        <v>24</v>
      </c>
      <c r="M185" s="22">
        <v>24</v>
      </c>
      <c r="N185" s="22">
        <v>40</v>
      </c>
      <c r="O185" s="22">
        <v>105</v>
      </c>
      <c r="P185" s="23">
        <v>8</v>
      </c>
      <c r="Q185" s="22">
        <v>9</v>
      </c>
      <c r="R185" s="22">
        <v>9</v>
      </c>
      <c r="S185" s="22" t="s">
        <v>6</v>
      </c>
      <c r="T185" s="23">
        <v>1</v>
      </c>
      <c r="U185" s="22">
        <v>18</v>
      </c>
      <c r="V185" s="22">
        <v>18</v>
      </c>
      <c r="W185" s="22" t="s">
        <v>6</v>
      </c>
      <c r="X185" s="22" t="s">
        <v>205</v>
      </c>
      <c r="Y185" s="22" t="s">
        <v>27</v>
      </c>
      <c r="Z185" s="22" t="s">
        <v>6</v>
      </c>
      <c r="AA185" s="22">
        <f>2/9%</f>
        <v>22.222222222222221</v>
      </c>
      <c r="AB185" s="22" t="s">
        <v>6</v>
      </c>
      <c r="AC185" s="22">
        <f t="shared" si="2"/>
        <v>11.111111111111111</v>
      </c>
      <c r="AD185" s="22" t="s">
        <v>6</v>
      </c>
      <c r="AE185" s="22" t="s">
        <v>316</v>
      </c>
      <c r="AF185" s="22" t="s">
        <v>332</v>
      </c>
      <c r="AG185" s="22" t="s">
        <v>325</v>
      </c>
      <c r="AH185" s="30" t="b">
        <v>0</v>
      </c>
      <c r="AI185" s="22" t="s">
        <v>6</v>
      </c>
      <c r="AJ185" s="22" t="s">
        <v>782</v>
      </c>
    </row>
    <row r="186" spans="1:36" x14ac:dyDescent="0.25">
      <c r="A186" s="22" t="s">
        <v>758</v>
      </c>
      <c r="B186" s="22" t="s">
        <v>309</v>
      </c>
      <c r="C186" s="22">
        <v>2</v>
      </c>
      <c r="D186" s="22" t="s">
        <v>161</v>
      </c>
      <c r="E186" s="22" t="s">
        <v>310</v>
      </c>
      <c r="F186" s="22" t="s">
        <v>733</v>
      </c>
      <c r="G186" s="22" t="s">
        <v>6</v>
      </c>
      <c r="H186" s="22" t="s">
        <v>6</v>
      </c>
      <c r="I186" s="22" t="s">
        <v>6</v>
      </c>
      <c r="J186" s="22" t="s">
        <v>24</v>
      </c>
      <c r="K186" s="22" t="s">
        <v>6</v>
      </c>
      <c r="L186" s="22">
        <v>24</v>
      </c>
      <c r="M186" s="22">
        <v>24</v>
      </c>
      <c r="N186" s="22">
        <v>40</v>
      </c>
      <c r="O186" s="22">
        <v>105</v>
      </c>
      <c r="P186" s="23">
        <v>9</v>
      </c>
      <c r="Q186" s="22">
        <v>10</v>
      </c>
      <c r="R186" s="22">
        <v>10</v>
      </c>
      <c r="S186" s="22" t="s">
        <v>6</v>
      </c>
      <c r="T186" s="23">
        <v>1</v>
      </c>
      <c r="U186" s="22">
        <v>18</v>
      </c>
      <c r="V186" s="22">
        <v>18</v>
      </c>
      <c r="W186" s="22" t="s">
        <v>6</v>
      </c>
      <c r="X186" s="22" t="s">
        <v>205</v>
      </c>
      <c r="Y186" s="22" t="s">
        <v>27</v>
      </c>
      <c r="Z186" s="22" t="s">
        <v>6</v>
      </c>
      <c r="AA186" s="22">
        <f>2/10%</f>
        <v>20</v>
      </c>
      <c r="AB186" s="22" t="s">
        <v>6</v>
      </c>
      <c r="AC186" s="22">
        <f t="shared" si="2"/>
        <v>11.111111111111111</v>
      </c>
      <c r="AD186" s="22" t="s">
        <v>6</v>
      </c>
      <c r="AE186" s="22" t="s">
        <v>317</v>
      </c>
      <c r="AF186" s="22" t="s">
        <v>332</v>
      </c>
      <c r="AG186" s="22" t="s">
        <v>325</v>
      </c>
      <c r="AH186" s="30" t="b">
        <v>0</v>
      </c>
      <c r="AI186" s="22" t="s">
        <v>6</v>
      </c>
      <c r="AJ186" s="22" t="s">
        <v>782</v>
      </c>
    </row>
    <row r="187" spans="1:36" x14ac:dyDescent="0.25">
      <c r="A187" s="22" t="s">
        <v>758</v>
      </c>
      <c r="B187" s="22" t="s">
        <v>309</v>
      </c>
      <c r="C187" s="22">
        <v>2</v>
      </c>
      <c r="D187" s="22" t="s">
        <v>161</v>
      </c>
      <c r="E187" s="22" t="s">
        <v>310</v>
      </c>
      <c r="F187" s="22" t="s">
        <v>733</v>
      </c>
      <c r="G187" s="22" t="s">
        <v>6</v>
      </c>
      <c r="H187" s="22" t="s">
        <v>6</v>
      </c>
      <c r="I187" s="22" t="s">
        <v>6</v>
      </c>
      <c r="J187" s="22" t="s">
        <v>777</v>
      </c>
      <c r="K187" s="22">
        <v>1</v>
      </c>
      <c r="L187" s="22">
        <v>14</v>
      </c>
      <c r="M187" s="22">
        <v>14</v>
      </c>
      <c r="N187" s="22">
        <v>40</v>
      </c>
      <c r="O187" s="22">
        <v>106</v>
      </c>
      <c r="P187" s="23">
        <v>1</v>
      </c>
      <c r="Q187" s="22">
        <v>7</v>
      </c>
      <c r="R187" s="22">
        <v>7</v>
      </c>
      <c r="S187" s="22" t="s">
        <v>6</v>
      </c>
      <c r="T187" s="23">
        <v>1</v>
      </c>
      <c r="U187" s="22">
        <v>15</v>
      </c>
      <c r="V187" s="22">
        <v>15</v>
      </c>
      <c r="W187" s="22" t="s">
        <v>6</v>
      </c>
      <c r="X187" s="22" t="s">
        <v>334</v>
      </c>
      <c r="Y187" s="22" t="s">
        <v>27</v>
      </c>
      <c r="Z187" s="22" t="s">
        <v>6</v>
      </c>
      <c r="AA187" s="22">
        <f>1/7%</f>
        <v>14.285714285714285</v>
      </c>
      <c r="AB187" s="22" t="s">
        <v>6</v>
      </c>
      <c r="AC187" s="22">
        <f t="shared" ref="AC187:AC195" si="3">13/15%</f>
        <v>86.666666666666671</v>
      </c>
      <c r="AD187" s="22" t="s">
        <v>6</v>
      </c>
      <c r="AE187" s="22" t="s">
        <v>311</v>
      </c>
      <c r="AF187" s="22" t="s">
        <v>335</v>
      </c>
      <c r="AG187" s="22" t="s">
        <v>325</v>
      </c>
      <c r="AH187" s="30" t="b">
        <v>0</v>
      </c>
      <c r="AI187" s="22" t="s">
        <v>6</v>
      </c>
      <c r="AJ187" s="22" t="s">
        <v>333</v>
      </c>
    </row>
    <row r="188" spans="1:36" x14ac:dyDescent="0.25">
      <c r="A188" s="22" t="s">
        <v>758</v>
      </c>
      <c r="B188" s="22" t="s">
        <v>309</v>
      </c>
      <c r="C188" s="22">
        <v>2</v>
      </c>
      <c r="D188" s="22" t="s">
        <v>161</v>
      </c>
      <c r="E188" s="22" t="s">
        <v>310</v>
      </c>
      <c r="F188" s="22" t="s">
        <v>733</v>
      </c>
      <c r="G188" s="22" t="s">
        <v>6</v>
      </c>
      <c r="H188" s="22" t="s">
        <v>6</v>
      </c>
      <c r="I188" s="22" t="s">
        <v>6</v>
      </c>
      <c r="J188" s="22" t="s">
        <v>777</v>
      </c>
      <c r="K188" s="22">
        <v>1</v>
      </c>
      <c r="L188" s="22">
        <v>14</v>
      </c>
      <c r="M188" s="22">
        <v>14</v>
      </c>
      <c r="N188" s="22">
        <v>40</v>
      </c>
      <c r="O188" s="22">
        <v>106</v>
      </c>
      <c r="P188" s="23">
        <v>2</v>
      </c>
      <c r="Q188" s="22">
        <v>5</v>
      </c>
      <c r="R188" s="22">
        <v>5</v>
      </c>
      <c r="S188" s="22" t="s">
        <v>6</v>
      </c>
      <c r="T188" s="23">
        <v>1</v>
      </c>
      <c r="U188" s="22">
        <v>15</v>
      </c>
      <c r="V188" s="22">
        <v>15</v>
      </c>
      <c r="W188" s="22" t="s">
        <v>6</v>
      </c>
      <c r="X188" s="22" t="s">
        <v>334</v>
      </c>
      <c r="Y188" s="22" t="s">
        <v>27</v>
      </c>
      <c r="Z188" s="22" t="s">
        <v>6</v>
      </c>
      <c r="AA188" s="22">
        <f>0/5%</f>
        <v>0</v>
      </c>
      <c r="AB188" s="22" t="s">
        <v>6</v>
      </c>
      <c r="AC188" s="22">
        <f t="shared" si="3"/>
        <v>86.666666666666671</v>
      </c>
      <c r="AD188" s="22" t="s">
        <v>6</v>
      </c>
      <c r="AE188" s="22" t="s">
        <v>328</v>
      </c>
      <c r="AF188" s="22" t="s">
        <v>335</v>
      </c>
      <c r="AG188" s="22" t="s">
        <v>325</v>
      </c>
      <c r="AH188" s="30" t="b">
        <v>0</v>
      </c>
      <c r="AI188" s="22" t="s">
        <v>6</v>
      </c>
      <c r="AJ188" s="22" t="s">
        <v>333</v>
      </c>
    </row>
    <row r="189" spans="1:36" x14ac:dyDescent="0.25">
      <c r="A189" s="22" t="s">
        <v>758</v>
      </c>
      <c r="B189" s="22" t="s">
        <v>309</v>
      </c>
      <c r="C189" s="22">
        <v>2</v>
      </c>
      <c r="D189" s="22" t="s">
        <v>161</v>
      </c>
      <c r="E189" s="22" t="s">
        <v>310</v>
      </c>
      <c r="F189" s="22" t="s">
        <v>733</v>
      </c>
      <c r="G189" s="22" t="s">
        <v>6</v>
      </c>
      <c r="H189" s="22" t="s">
        <v>6</v>
      </c>
      <c r="I189" s="22" t="s">
        <v>6</v>
      </c>
      <c r="J189" s="22" t="s">
        <v>777</v>
      </c>
      <c r="K189" s="22">
        <v>1</v>
      </c>
      <c r="L189" s="22">
        <v>14</v>
      </c>
      <c r="M189" s="22">
        <v>14</v>
      </c>
      <c r="N189" s="22">
        <v>40</v>
      </c>
      <c r="O189" s="22">
        <v>106</v>
      </c>
      <c r="P189" s="23">
        <v>3</v>
      </c>
      <c r="Q189" s="22">
        <v>10</v>
      </c>
      <c r="R189" s="22">
        <v>10</v>
      </c>
      <c r="S189" s="22" t="s">
        <v>6</v>
      </c>
      <c r="T189" s="23">
        <v>1</v>
      </c>
      <c r="U189" s="22">
        <v>15</v>
      </c>
      <c r="V189" s="22">
        <v>15</v>
      </c>
      <c r="W189" s="22" t="s">
        <v>6</v>
      </c>
      <c r="X189" s="22" t="s">
        <v>334</v>
      </c>
      <c r="Y189" s="22" t="s">
        <v>27</v>
      </c>
      <c r="Z189" s="22" t="s">
        <v>6</v>
      </c>
      <c r="AA189" s="22">
        <f>0/10%</f>
        <v>0</v>
      </c>
      <c r="AB189" s="22" t="s">
        <v>6</v>
      </c>
      <c r="AC189" s="22">
        <f t="shared" si="3"/>
        <v>86.666666666666671</v>
      </c>
      <c r="AD189" s="22" t="s">
        <v>6</v>
      </c>
      <c r="AE189" s="22" t="s">
        <v>312</v>
      </c>
      <c r="AF189" s="22" t="s">
        <v>335</v>
      </c>
      <c r="AG189" s="22" t="s">
        <v>325</v>
      </c>
      <c r="AH189" s="30" t="b">
        <v>0</v>
      </c>
      <c r="AI189" s="22" t="s">
        <v>6</v>
      </c>
      <c r="AJ189" s="22" t="s">
        <v>333</v>
      </c>
    </row>
    <row r="190" spans="1:36" x14ac:dyDescent="0.25">
      <c r="A190" s="22" t="s">
        <v>758</v>
      </c>
      <c r="B190" s="22" t="s">
        <v>309</v>
      </c>
      <c r="C190" s="22">
        <v>2</v>
      </c>
      <c r="D190" s="22" t="s">
        <v>161</v>
      </c>
      <c r="E190" s="22" t="s">
        <v>310</v>
      </c>
      <c r="F190" s="22" t="s">
        <v>733</v>
      </c>
      <c r="G190" s="22" t="s">
        <v>6</v>
      </c>
      <c r="H190" s="22" t="s">
        <v>6</v>
      </c>
      <c r="I190" s="22" t="s">
        <v>6</v>
      </c>
      <c r="J190" s="22" t="s">
        <v>777</v>
      </c>
      <c r="K190" s="22">
        <v>1</v>
      </c>
      <c r="L190" s="22">
        <v>14</v>
      </c>
      <c r="M190" s="22">
        <v>14</v>
      </c>
      <c r="N190" s="22">
        <v>40</v>
      </c>
      <c r="O190" s="22">
        <v>106</v>
      </c>
      <c r="P190" s="23">
        <v>4</v>
      </c>
      <c r="Q190" s="22">
        <v>4</v>
      </c>
      <c r="R190" s="22">
        <v>4</v>
      </c>
      <c r="S190" s="22" t="s">
        <v>6</v>
      </c>
      <c r="T190" s="23">
        <v>1</v>
      </c>
      <c r="U190" s="22">
        <v>15</v>
      </c>
      <c r="V190" s="22">
        <v>15</v>
      </c>
      <c r="W190" s="22" t="s">
        <v>6</v>
      </c>
      <c r="X190" s="22" t="s">
        <v>334</v>
      </c>
      <c r="Y190" s="22" t="s">
        <v>27</v>
      </c>
      <c r="Z190" s="22" t="s">
        <v>6</v>
      </c>
      <c r="AA190" s="22">
        <f>1/4%</f>
        <v>25</v>
      </c>
      <c r="AB190" s="22" t="s">
        <v>6</v>
      </c>
      <c r="AC190" s="22">
        <f t="shared" si="3"/>
        <v>86.666666666666671</v>
      </c>
      <c r="AD190" s="22" t="s">
        <v>6</v>
      </c>
      <c r="AE190" s="22" t="s">
        <v>329</v>
      </c>
      <c r="AF190" s="22" t="s">
        <v>335</v>
      </c>
      <c r="AG190" s="22" t="s">
        <v>325</v>
      </c>
      <c r="AH190" s="30" t="b">
        <v>0</v>
      </c>
      <c r="AI190" s="22" t="s">
        <v>6</v>
      </c>
      <c r="AJ190" s="22" t="s">
        <v>333</v>
      </c>
    </row>
    <row r="191" spans="1:36" x14ac:dyDescent="0.25">
      <c r="A191" s="22" t="s">
        <v>758</v>
      </c>
      <c r="B191" s="22" t="s">
        <v>309</v>
      </c>
      <c r="C191" s="22">
        <v>2</v>
      </c>
      <c r="D191" s="22" t="s">
        <v>161</v>
      </c>
      <c r="E191" s="22" t="s">
        <v>310</v>
      </c>
      <c r="F191" s="22" t="s">
        <v>733</v>
      </c>
      <c r="G191" s="22" t="s">
        <v>6</v>
      </c>
      <c r="H191" s="22" t="s">
        <v>6</v>
      </c>
      <c r="I191" s="22" t="s">
        <v>6</v>
      </c>
      <c r="J191" s="22" t="s">
        <v>777</v>
      </c>
      <c r="K191" s="22">
        <v>1</v>
      </c>
      <c r="L191" s="22">
        <v>14</v>
      </c>
      <c r="M191" s="22">
        <v>14</v>
      </c>
      <c r="N191" s="22">
        <v>40</v>
      </c>
      <c r="O191" s="22">
        <v>106</v>
      </c>
      <c r="P191" s="23">
        <v>5</v>
      </c>
      <c r="Q191" s="22">
        <v>8</v>
      </c>
      <c r="R191" s="22">
        <v>8</v>
      </c>
      <c r="S191" s="22" t="s">
        <v>6</v>
      </c>
      <c r="T191" s="23">
        <v>1</v>
      </c>
      <c r="U191" s="22">
        <v>15</v>
      </c>
      <c r="V191" s="22">
        <v>15</v>
      </c>
      <c r="W191" s="22" t="s">
        <v>6</v>
      </c>
      <c r="X191" s="22" t="s">
        <v>334</v>
      </c>
      <c r="Y191" s="22" t="s">
        <v>27</v>
      </c>
      <c r="Z191" s="22" t="s">
        <v>6</v>
      </c>
      <c r="AA191" s="22">
        <f>2/8%</f>
        <v>25</v>
      </c>
      <c r="AB191" s="22" t="s">
        <v>6</v>
      </c>
      <c r="AC191" s="22">
        <f t="shared" si="3"/>
        <v>86.666666666666671</v>
      </c>
      <c r="AD191" s="22" t="s">
        <v>6</v>
      </c>
      <c r="AE191" s="22" t="s">
        <v>330</v>
      </c>
      <c r="AF191" s="22" t="s">
        <v>335</v>
      </c>
      <c r="AG191" s="22" t="s">
        <v>325</v>
      </c>
      <c r="AH191" s="30" t="b">
        <v>0</v>
      </c>
      <c r="AI191" s="22" t="s">
        <v>6</v>
      </c>
      <c r="AJ191" s="22" t="s">
        <v>333</v>
      </c>
    </row>
    <row r="192" spans="1:36" x14ac:dyDescent="0.25">
      <c r="A192" s="22" t="s">
        <v>758</v>
      </c>
      <c r="B192" s="22" t="s">
        <v>309</v>
      </c>
      <c r="C192" s="22">
        <v>2</v>
      </c>
      <c r="D192" s="22" t="s">
        <v>161</v>
      </c>
      <c r="E192" s="22" t="s">
        <v>310</v>
      </c>
      <c r="F192" s="22" t="s">
        <v>733</v>
      </c>
      <c r="G192" s="22" t="s">
        <v>6</v>
      </c>
      <c r="H192" s="22" t="s">
        <v>6</v>
      </c>
      <c r="I192" s="22" t="s">
        <v>6</v>
      </c>
      <c r="J192" s="22" t="s">
        <v>777</v>
      </c>
      <c r="K192" s="22">
        <v>1</v>
      </c>
      <c r="L192" s="22">
        <v>14</v>
      </c>
      <c r="M192" s="22">
        <v>14</v>
      </c>
      <c r="N192" s="22">
        <v>40</v>
      </c>
      <c r="O192" s="22">
        <v>106</v>
      </c>
      <c r="P192" s="23">
        <v>6</v>
      </c>
      <c r="Q192" s="22">
        <v>8</v>
      </c>
      <c r="R192" s="22">
        <v>8</v>
      </c>
      <c r="S192" s="22" t="s">
        <v>6</v>
      </c>
      <c r="T192" s="23">
        <v>1</v>
      </c>
      <c r="U192" s="22">
        <v>15</v>
      </c>
      <c r="V192" s="22">
        <v>15</v>
      </c>
      <c r="W192" s="22" t="s">
        <v>6</v>
      </c>
      <c r="X192" s="22" t="s">
        <v>334</v>
      </c>
      <c r="Y192" s="22" t="s">
        <v>27</v>
      </c>
      <c r="Z192" s="22" t="s">
        <v>6</v>
      </c>
      <c r="AA192" s="22">
        <f>0/8%</f>
        <v>0</v>
      </c>
      <c r="AB192" s="22" t="s">
        <v>6</v>
      </c>
      <c r="AC192" s="22">
        <f t="shared" si="3"/>
        <v>86.666666666666671</v>
      </c>
      <c r="AD192" s="22" t="s">
        <v>6</v>
      </c>
      <c r="AE192" s="22" t="s">
        <v>314</v>
      </c>
      <c r="AF192" s="22" t="s">
        <v>335</v>
      </c>
      <c r="AG192" s="22" t="s">
        <v>325</v>
      </c>
      <c r="AH192" s="30" t="b">
        <v>0</v>
      </c>
      <c r="AI192" s="22" t="s">
        <v>6</v>
      </c>
      <c r="AJ192" s="22" t="s">
        <v>333</v>
      </c>
    </row>
    <row r="193" spans="1:36" x14ac:dyDescent="0.25">
      <c r="A193" s="22" t="s">
        <v>758</v>
      </c>
      <c r="B193" s="22" t="s">
        <v>309</v>
      </c>
      <c r="C193" s="22">
        <v>2</v>
      </c>
      <c r="D193" s="22" t="s">
        <v>161</v>
      </c>
      <c r="E193" s="22" t="s">
        <v>310</v>
      </c>
      <c r="F193" s="22" t="s">
        <v>733</v>
      </c>
      <c r="G193" s="22" t="s">
        <v>6</v>
      </c>
      <c r="H193" s="22" t="s">
        <v>6</v>
      </c>
      <c r="I193" s="22" t="s">
        <v>6</v>
      </c>
      <c r="J193" s="22" t="s">
        <v>777</v>
      </c>
      <c r="K193" s="22">
        <v>1</v>
      </c>
      <c r="L193" s="22">
        <v>14</v>
      </c>
      <c r="M193" s="22">
        <v>14</v>
      </c>
      <c r="N193" s="22">
        <v>40</v>
      </c>
      <c r="O193" s="22">
        <v>106</v>
      </c>
      <c r="P193" s="23">
        <v>7</v>
      </c>
      <c r="Q193" s="22">
        <v>8</v>
      </c>
      <c r="R193" s="22">
        <v>8</v>
      </c>
      <c r="S193" s="22" t="s">
        <v>6</v>
      </c>
      <c r="T193" s="23">
        <v>1</v>
      </c>
      <c r="U193" s="22">
        <v>15</v>
      </c>
      <c r="V193" s="22">
        <v>15</v>
      </c>
      <c r="W193" s="22" t="s">
        <v>6</v>
      </c>
      <c r="X193" s="22" t="s">
        <v>334</v>
      </c>
      <c r="Y193" s="22" t="s">
        <v>27</v>
      </c>
      <c r="Z193" s="22" t="s">
        <v>6</v>
      </c>
      <c r="AA193" s="22">
        <f>4/8%</f>
        <v>50</v>
      </c>
      <c r="AB193" s="22" t="s">
        <v>6</v>
      </c>
      <c r="AC193" s="22">
        <f t="shared" si="3"/>
        <v>86.666666666666671</v>
      </c>
      <c r="AD193" s="22" t="s">
        <v>6</v>
      </c>
      <c r="AE193" s="22" t="s">
        <v>331</v>
      </c>
      <c r="AF193" s="22" t="s">
        <v>335</v>
      </c>
      <c r="AG193" s="22" t="s">
        <v>325</v>
      </c>
      <c r="AH193" s="30" t="b">
        <v>0</v>
      </c>
      <c r="AI193" s="22" t="s">
        <v>6</v>
      </c>
      <c r="AJ193" s="22" t="s">
        <v>333</v>
      </c>
    </row>
    <row r="194" spans="1:36" x14ac:dyDescent="0.25">
      <c r="A194" s="22" t="s">
        <v>758</v>
      </c>
      <c r="B194" s="22" t="s">
        <v>309</v>
      </c>
      <c r="C194" s="22">
        <v>2</v>
      </c>
      <c r="D194" s="22" t="s">
        <v>161</v>
      </c>
      <c r="E194" s="22" t="s">
        <v>310</v>
      </c>
      <c r="F194" s="22" t="s">
        <v>733</v>
      </c>
      <c r="G194" s="22" t="s">
        <v>6</v>
      </c>
      <c r="H194" s="22" t="s">
        <v>6</v>
      </c>
      <c r="I194" s="22" t="s">
        <v>6</v>
      </c>
      <c r="J194" s="22" t="s">
        <v>777</v>
      </c>
      <c r="K194" s="22">
        <v>1</v>
      </c>
      <c r="L194" s="22">
        <v>14</v>
      </c>
      <c r="M194" s="22">
        <v>14</v>
      </c>
      <c r="N194" s="22">
        <v>40</v>
      </c>
      <c r="O194" s="22">
        <v>106</v>
      </c>
      <c r="P194" s="23">
        <v>8</v>
      </c>
      <c r="Q194" s="22">
        <v>7</v>
      </c>
      <c r="R194" s="22">
        <v>7</v>
      </c>
      <c r="S194" s="22" t="s">
        <v>6</v>
      </c>
      <c r="T194" s="23">
        <v>1</v>
      </c>
      <c r="U194" s="22">
        <v>15</v>
      </c>
      <c r="V194" s="22">
        <v>15</v>
      </c>
      <c r="W194" s="22" t="s">
        <v>6</v>
      </c>
      <c r="X194" s="22" t="s">
        <v>334</v>
      </c>
      <c r="Y194" s="22" t="s">
        <v>27</v>
      </c>
      <c r="Z194" s="22" t="s">
        <v>6</v>
      </c>
      <c r="AA194" s="22">
        <f>2/7%</f>
        <v>28.571428571428569</v>
      </c>
      <c r="AB194" s="22" t="s">
        <v>6</v>
      </c>
      <c r="AC194" s="22">
        <f t="shared" si="3"/>
        <v>86.666666666666671</v>
      </c>
      <c r="AD194" s="22" t="s">
        <v>6</v>
      </c>
      <c r="AE194" s="22" t="s">
        <v>316</v>
      </c>
      <c r="AF194" s="22" t="s">
        <v>335</v>
      </c>
      <c r="AG194" s="22" t="s">
        <v>325</v>
      </c>
      <c r="AH194" s="30" t="b">
        <v>0</v>
      </c>
      <c r="AI194" s="22" t="s">
        <v>6</v>
      </c>
      <c r="AJ194" s="22" t="s">
        <v>333</v>
      </c>
    </row>
    <row r="195" spans="1:36" x14ac:dyDescent="0.25">
      <c r="A195" s="22" t="s">
        <v>758</v>
      </c>
      <c r="B195" s="22" t="s">
        <v>309</v>
      </c>
      <c r="C195" s="22">
        <v>2</v>
      </c>
      <c r="D195" s="22" t="s">
        <v>161</v>
      </c>
      <c r="E195" s="22" t="s">
        <v>310</v>
      </c>
      <c r="F195" s="22" t="s">
        <v>733</v>
      </c>
      <c r="G195" s="22" t="s">
        <v>6</v>
      </c>
      <c r="H195" s="22" t="s">
        <v>6</v>
      </c>
      <c r="I195" s="22" t="s">
        <v>6</v>
      </c>
      <c r="J195" s="22" t="s">
        <v>777</v>
      </c>
      <c r="K195" s="22">
        <v>1</v>
      </c>
      <c r="L195" s="22">
        <v>14</v>
      </c>
      <c r="M195" s="22">
        <v>14</v>
      </c>
      <c r="N195" s="22">
        <v>40</v>
      </c>
      <c r="O195" s="22">
        <v>106</v>
      </c>
      <c r="P195" s="23">
        <v>9</v>
      </c>
      <c r="Q195" s="22">
        <v>8</v>
      </c>
      <c r="R195" s="22">
        <v>8</v>
      </c>
      <c r="S195" s="22" t="s">
        <v>6</v>
      </c>
      <c r="T195" s="23">
        <v>1</v>
      </c>
      <c r="U195" s="22">
        <v>15</v>
      </c>
      <c r="V195" s="22">
        <v>15</v>
      </c>
      <c r="W195" s="22" t="s">
        <v>6</v>
      </c>
      <c r="X195" s="22" t="s">
        <v>334</v>
      </c>
      <c r="Y195" s="22" t="s">
        <v>27</v>
      </c>
      <c r="Z195" s="22" t="s">
        <v>6</v>
      </c>
      <c r="AA195" s="22">
        <f>2/8%</f>
        <v>25</v>
      </c>
      <c r="AB195" s="22" t="s">
        <v>6</v>
      </c>
      <c r="AC195" s="22">
        <f t="shared" si="3"/>
        <v>86.666666666666671</v>
      </c>
      <c r="AD195" s="22" t="s">
        <v>6</v>
      </c>
      <c r="AE195" s="22" t="s">
        <v>317</v>
      </c>
      <c r="AF195" s="22" t="s">
        <v>335</v>
      </c>
      <c r="AG195" s="22" t="s">
        <v>325</v>
      </c>
      <c r="AH195" s="30" t="b">
        <v>0</v>
      </c>
      <c r="AI195" s="22" t="s">
        <v>6</v>
      </c>
      <c r="AJ195" s="22" t="s">
        <v>333</v>
      </c>
    </row>
    <row r="196" spans="1:36" x14ac:dyDescent="0.25">
      <c r="A196" s="22" t="s">
        <v>758</v>
      </c>
      <c r="B196" s="22" t="s">
        <v>309</v>
      </c>
      <c r="C196" s="22">
        <v>2</v>
      </c>
      <c r="D196" s="22" t="s">
        <v>161</v>
      </c>
      <c r="E196" s="22" t="s">
        <v>310</v>
      </c>
      <c r="F196" s="22" t="s">
        <v>733</v>
      </c>
      <c r="G196" s="22" t="s">
        <v>6</v>
      </c>
      <c r="H196" s="22" t="s">
        <v>6</v>
      </c>
      <c r="I196" s="22" t="s">
        <v>6</v>
      </c>
      <c r="J196" s="22" t="s">
        <v>773</v>
      </c>
      <c r="K196" s="22">
        <v>1</v>
      </c>
      <c r="L196" s="22">
        <v>14</v>
      </c>
      <c r="M196" s="22">
        <v>14</v>
      </c>
      <c r="N196" s="22">
        <v>40</v>
      </c>
      <c r="O196" s="22">
        <v>107</v>
      </c>
      <c r="P196" s="23">
        <v>1</v>
      </c>
      <c r="Q196" s="22">
        <v>1</v>
      </c>
      <c r="R196" s="22">
        <v>1</v>
      </c>
      <c r="S196" s="22" t="s">
        <v>6</v>
      </c>
      <c r="T196" s="23">
        <v>1</v>
      </c>
      <c r="U196" s="22">
        <v>13</v>
      </c>
      <c r="V196" s="22">
        <v>13</v>
      </c>
      <c r="W196" s="22">
        <v>13</v>
      </c>
      <c r="X196" s="22" t="s">
        <v>336</v>
      </c>
      <c r="Y196" s="22" t="s">
        <v>327</v>
      </c>
      <c r="Z196" s="22" t="s">
        <v>133</v>
      </c>
      <c r="AA196" s="22">
        <v>0.57781490000000002</v>
      </c>
      <c r="AB196" s="22" t="s">
        <v>6</v>
      </c>
      <c r="AC196" s="22">
        <v>1450.4633788000001</v>
      </c>
      <c r="AD196" s="22">
        <v>1046.6944825</v>
      </c>
      <c r="AE196" s="22" t="s">
        <v>311</v>
      </c>
      <c r="AF196" s="22" t="s">
        <v>335</v>
      </c>
      <c r="AG196" s="22" t="s">
        <v>325</v>
      </c>
      <c r="AH196" s="30" t="b">
        <v>0</v>
      </c>
      <c r="AI196" s="22" t="s">
        <v>6</v>
      </c>
      <c r="AJ196" s="22" t="s">
        <v>339</v>
      </c>
    </row>
    <row r="197" spans="1:36" x14ac:dyDescent="0.25">
      <c r="A197" s="22" t="s">
        <v>758</v>
      </c>
      <c r="B197" s="22" t="s">
        <v>309</v>
      </c>
      <c r="C197" s="22">
        <v>2</v>
      </c>
      <c r="D197" s="22" t="s">
        <v>161</v>
      </c>
      <c r="E197" s="22" t="s">
        <v>310</v>
      </c>
      <c r="F197" s="22" t="s">
        <v>733</v>
      </c>
      <c r="G197" s="22" t="s">
        <v>6</v>
      </c>
      <c r="H197" s="22" t="s">
        <v>6</v>
      </c>
      <c r="I197" s="22" t="s">
        <v>6</v>
      </c>
      <c r="J197" s="22" t="s">
        <v>773</v>
      </c>
      <c r="K197" s="22">
        <v>1</v>
      </c>
      <c r="L197" s="22">
        <v>14</v>
      </c>
      <c r="M197" s="22">
        <v>14</v>
      </c>
      <c r="N197" s="22">
        <v>40</v>
      </c>
      <c r="O197" s="22">
        <v>107</v>
      </c>
      <c r="P197" s="23">
        <v>4</v>
      </c>
      <c r="Q197" s="22">
        <v>1</v>
      </c>
      <c r="R197" s="22">
        <v>1</v>
      </c>
      <c r="S197" s="22" t="s">
        <v>6</v>
      </c>
      <c r="T197" s="23">
        <v>1</v>
      </c>
      <c r="U197" s="22">
        <v>13</v>
      </c>
      <c r="V197" s="22">
        <v>13</v>
      </c>
      <c r="W197" s="22">
        <v>13</v>
      </c>
      <c r="X197" s="22" t="s">
        <v>336</v>
      </c>
      <c r="Y197" s="22" t="s">
        <v>327</v>
      </c>
      <c r="Z197" s="22" t="s">
        <v>133</v>
      </c>
      <c r="AA197" s="22">
        <v>35.363868600000004</v>
      </c>
      <c r="AB197" s="22" t="s">
        <v>6</v>
      </c>
      <c r="AC197" s="22">
        <v>1450.4633788000001</v>
      </c>
      <c r="AD197" s="22">
        <v>1046.6944825</v>
      </c>
      <c r="AE197" s="22" t="s">
        <v>329</v>
      </c>
      <c r="AF197" s="22" t="s">
        <v>335</v>
      </c>
      <c r="AG197" s="22" t="s">
        <v>325</v>
      </c>
      <c r="AH197" s="30" t="b">
        <v>0</v>
      </c>
      <c r="AI197" s="22" t="s">
        <v>6</v>
      </c>
      <c r="AJ197" s="22" t="s">
        <v>339</v>
      </c>
    </row>
    <row r="198" spans="1:36" x14ac:dyDescent="0.25">
      <c r="A198" s="22" t="s">
        <v>758</v>
      </c>
      <c r="B198" s="22" t="s">
        <v>309</v>
      </c>
      <c r="C198" s="22">
        <v>2</v>
      </c>
      <c r="D198" s="22" t="s">
        <v>161</v>
      </c>
      <c r="E198" s="22" t="s">
        <v>310</v>
      </c>
      <c r="F198" s="22" t="s">
        <v>733</v>
      </c>
      <c r="G198" s="22" t="s">
        <v>6</v>
      </c>
      <c r="H198" s="22" t="s">
        <v>6</v>
      </c>
      <c r="I198" s="22" t="s">
        <v>6</v>
      </c>
      <c r="J198" s="22" t="s">
        <v>773</v>
      </c>
      <c r="K198" s="22">
        <v>1</v>
      </c>
      <c r="L198" s="22">
        <v>14</v>
      </c>
      <c r="M198" s="22">
        <v>14</v>
      </c>
      <c r="N198" s="22">
        <v>40</v>
      </c>
      <c r="O198" s="22">
        <v>107</v>
      </c>
      <c r="P198" s="23">
        <v>5</v>
      </c>
      <c r="Q198" s="22">
        <v>2</v>
      </c>
      <c r="R198" s="22">
        <v>2</v>
      </c>
      <c r="S198" s="22">
        <v>2</v>
      </c>
      <c r="T198" s="23">
        <v>1</v>
      </c>
      <c r="U198" s="22">
        <v>13</v>
      </c>
      <c r="V198" s="22">
        <v>13</v>
      </c>
      <c r="W198" s="22">
        <v>13</v>
      </c>
      <c r="X198" s="22" t="s">
        <v>336</v>
      </c>
      <c r="Y198" s="22" t="s">
        <v>327</v>
      </c>
      <c r="Z198" s="22" t="s">
        <v>133</v>
      </c>
      <c r="AA198" s="22">
        <v>5.5738760000000003</v>
      </c>
      <c r="AB198" s="22">
        <v>7.8479397000000004</v>
      </c>
      <c r="AC198" s="22">
        <v>1450.4633788000001</v>
      </c>
      <c r="AD198" s="22">
        <v>1046.6944825</v>
      </c>
      <c r="AE198" s="22" t="s">
        <v>330</v>
      </c>
      <c r="AF198" s="22" t="s">
        <v>335</v>
      </c>
      <c r="AG198" s="22" t="s">
        <v>325</v>
      </c>
      <c r="AH198" s="30" t="b">
        <v>0</v>
      </c>
      <c r="AI198" s="22" t="s">
        <v>6</v>
      </c>
      <c r="AJ198" s="22" t="s">
        <v>339</v>
      </c>
    </row>
    <row r="199" spans="1:36" x14ac:dyDescent="0.25">
      <c r="A199" s="22" t="s">
        <v>758</v>
      </c>
      <c r="B199" s="22" t="s">
        <v>309</v>
      </c>
      <c r="C199" s="22">
        <v>2</v>
      </c>
      <c r="D199" s="22" t="s">
        <v>161</v>
      </c>
      <c r="E199" s="22" t="s">
        <v>310</v>
      </c>
      <c r="F199" s="22" t="s">
        <v>733</v>
      </c>
      <c r="G199" s="22" t="s">
        <v>6</v>
      </c>
      <c r="H199" s="22" t="s">
        <v>6</v>
      </c>
      <c r="I199" s="22" t="s">
        <v>6</v>
      </c>
      <c r="J199" s="22" t="s">
        <v>773</v>
      </c>
      <c r="K199" s="22">
        <v>1</v>
      </c>
      <c r="L199" s="22">
        <v>14</v>
      </c>
      <c r="M199" s="22">
        <v>14</v>
      </c>
      <c r="N199" s="22">
        <v>40</v>
      </c>
      <c r="O199" s="22">
        <v>107</v>
      </c>
      <c r="P199" s="23">
        <v>7</v>
      </c>
      <c r="Q199" s="22">
        <v>4</v>
      </c>
      <c r="R199" s="22">
        <v>4</v>
      </c>
      <c r="S199" s="22">
        <v>4</v>
      </c>
      <c r="T199" s="23">
        <v>1</v>
      </c>
      <c r="U199" s="22">
        <v>13</v>
      </c>
      <c r="V199" s="22">
        <v>13</v>
      </c>
      <c r="W199" s="22">
        <v>13</v>
      </c>
      <c r="X199" s="22" t="s">
        <v>336</v>
      </c>
      <c r="Y199" s="22" t="s">
        <v>327</v>
      </c>
      <c r="Z199" s="22" t="s">
        <v>133</v>
      </c>
      <c r="AA199" s="22">
        <v>77.128897199999997</v>
      </c>
      <c r="AB199" s="22">
        <v>83.064907700000006</v>
      </c>
      <c r="AC199" s="22">
        <v>1450.4633788000001</v>
      </c>
      <c r="AD199" s="22">
        <v>1046.6944825</v>
      </c>
      <c r="AE199" s="22" t="s">
        <v>331</v>
      </c>
      <c r="AF199" s="22" t="s">
        <v>335</v>
      </c>
      <c r="AG199" s="22" t="s">
        <v>325</v>
      </c>
      <c r="AH199" s="30" t="b">
        <v>0</v>
      </c>
      <c r="AI199" s="22" t="s">
        <v>6</v>
      </c>
      <c r="AJ199" s="22" t="s">
        <v>339</v>
      </c>
    </row>
    <row r="200" spans="1:36" x14ac:dyDescent="0.25">
      <c r="A200" s="22" t="s">
        <v>758</v>
      </c>
      <c r="B200" s="22" t="s">
        <v>309</v>
      </c>
      <c r="C200" s="22">
        <v>2</v>
      </c>
      <c r="D200" s="22" t="s">
        <v>161</v>
      </c>
      <c r="E200" s="22" t="s">
        <v>310</v>
      </c>
      <c r="F200" s="22" t="s">
        <v>733</v>
      </c>
      <c r="G200" s="22" t="s">
        <v>6</v>
      </c>
      <c r="H200" s="22" t="s">
        <v>6</v>
      </c>
      <c r="I200" s="22" t="s">
        <v>6</v>
      </c>
      <c r="J200" s="22" t="s">
        <v>773</v>
      </c>
      <c r="K200" s="22">
        <v>1</v>
      </c>
      <c r="L200" s="22">
        <v>14</v>
      </c>
      <c r="M200" s="22">
        <v>14</v>
      </c>
      <c r="N200" s="22">
        <v>40</v>
      </c>
      <c r="O200" s="22">
        <v>107</v>
      </c>
      <c r="P200" s="23">
        <v>8</v>
      </c>
      <c r="Q200" s="22">
        <v>2</v>
      </c>
      <c r="R200" s="22">
        <v>2</v>
      </c>
      <c r="S200" s="22">
        <v>2</v>
      </c>
      <c r="T200" s="23">
        <v>1</v>
      </c>
      <c r="U200" s="22">
        <v>13</v>
      </c>
      <c r="V200" s="22">
        <v>13</v>
      </c>
      <c r="W200" s="22">
        <v>13</v>
      </c>
      <c r="X200" s="22" t="s">
        <v>336</v>
      </c>
      <c r="Y200" s="22" t="s">
        <v>327</v>
      </c>
      <c r="Z200" s="22" t="s">
        <v>133</v>
      </c>
      <c r="AA200" s="22">
        <v>450.62246390000001</v>
      </c>
      <c r="AB200" s="22">
        <v>494.43698280000001</v>
      </c>
      <c r="AC200" s="22">
        <v>1450.4633788000001</v>
      </c>
      <c r="AD200" s="22">
        <v>1046.6944825</v>
      </c>
      <c r="AE200" s="22" t="s">
        <v>316</v>
      </c>
      <c r="AF200" s="22" t="s">
        <v>335</v>
      </c>
      <c r="AG200" s="22" t="s">
        <v>325</v>
      </c>
      <c r="AH200" s="30" t="b">
        <v>0</v>
      </c>
      <c r="AI200" s="22" t="s">
        <v>6</v>
      </c>
      <c r="AJ200" s="22" t="s">
        <v>339</v>
      </c>
    </row>
    <row r="201" spans="1:36" ht="19" customHeight="1" x14ac:dyDescent="0.25">
      <c r="A201" s="22" t="s">
        <v>758</v>
      </c>
      <c r="B201" s="22" t="s">
        <v>309</v>
      </c>
      <c r="C201" s="22">
        <v>2</v>
      </c>
      <c r="D201" s="22" t="s">
        <v>161</v>
      </c>
      <c r="E201" s="22" t="s">
        <v>310</v>
      </c>
      <c r="F201" s="22" t="s">
        <v>733</v>
      </c>
      <c r="G201" s="22" t="s">
        <v>6</v>
      </c>
      <c r="H201" s="22" t="s">
        <v>6</v>
      </c>
      <c r="I201" s="22" t="s">
        <v>6</v>
      </c>
      <c r="J201" s="22" t="s">
        <v>773</v>
      </c>
      <c r="K201" s="22">
        <v>1</v>
      </c>
      <c r="L201" s="22">
        <v>14</v>
      </c>
      <c r="M201" s="22">
        <v>14</v>
      </c>
      <c r="N201" s="22">
        <v>40</v>
      </c>
      <c r="O201" s="22">
        <v>107</v>
      </c>
      <c r="P201" s="23">
        <v>9</v>
      </c>
      <c r="Q201" s="22">
        <v>2</v>
      </c>
      <c r="R201" s="22">
        <v>2</v>
      </c>
      <c r="S201" s="22">
        <v>2</v>
      </c>
      <c r="T201" s="23">
        <v>1</v>
      </c>
      <c r="U201" s="22">
        <v>13</v>
      </c>
      <c r="V201" s="22">
        <v>13</v>
      </c>
      <c r="W201" s="22">
        <v>13</v>
      </c>
      <c r="X201" s="22" t="s">
        <v>336</v>
      </c>
      <c r="Y201" s="22" t="s">
        <v>327</v>
      </c>
      <c r="Z201" s="22" t="s">
        <v>133</v>
      </c>
      <c r="AA201" s="22">
        <v>0.62908710000000001</v>
      </c>
      <c r="AB201" s="22">
        <v>0.1068181</v>
      </c>
      <c r="AC201" s="22">
        <v>1450.4633788000001</v>
      </c>
      <c r="AD201" s="22">
        <v>1046.6944825</v>
      </c>
      <c r="AE201" s="22" t="s">
        <v>317</v>
      </c>
      <c r="AF201" s="22" t="s">
        <v>335</v>
      </c>
      <c r="AG201" s="22" t="s">
        <v>325</v>
      </c>
      <c r="AH201" s="30" t="b">
        <v>0</v>
      </c>
      <c r="AI201" s="22" t="s">
        <v>6</v>
      </c>
      <c r="AJ201" s="22" t="s">
        <v>339</v>
      </c>
    </row>
    <row r="202" spans="1:36" x14ac:dyDescent="0.25">
      <c r="A202" s="22" t="s">
        <v>758</v>
      </c>
      <c r="B202" s="22" t="s">
        <v>340</v>
      </c>
      <c r="C202" s="22">
        <v>1</v>
      </c>
      <c r="D202" s="22" t="s">
        <v>761</v>
      </c>
      <c r="E202" s="22" t="s">
        <v>6</v>
      </c>
      <c r="F202" s="22" t="s">
        <v>6</v>
      </c>
      <c r="G202" s="22" t="s">
        <v>6</v>
      </c>
      <c r="H202" s="22" t="s">
        <v>6</v>
      </c>
      <c r="I202" s="22" t="s">
        <v>6</v>
      </c>
      <c r="J202" s="22" t="s">
        <v>24</v>
      </c>
      <c r="K202" s="22" t="s">
        <v>6</v>
      </c>
      <c r="L202" s="22">
        <v>14</v>
      </c>
      <c r="M202" s="22">
        <v>14</v>
      </c>
      <c r="N202" s="22">
        <v>41</v>
      </c>
      <c r="O202" s="22">
        <v>108</v>
      </c>
      <c r="P202" s="23">
        <v>1</v>
      </c>
      <c r="Q202" s="22">
        <v>11</v>
      </c>
      <c r="R202" s="22">
        <v>11</v>
      </c>
      <c r="S202" s="22" t="s">
        <v>6</v>
      </c>
      <c r="T202" s="23">
        <v>1</v>
      </c>
      <c r="U202" s="22">
        <v>9</v>
      </c>
      <c r="V202" s="22">
        <v>9</v>
      </c>
      <c r="W202" s="22" t="s">
        <v>6</v>
      </c>
      <c r="X202" s="22" t="s">
        <v>205</v>
      </c>
      <c r="Y202" s="22" t="s">
        <v>27</v>
      </c>
      <c r="Z202" s="22" t="s">
        <v>6</v>
      </c>
      <c r="AA202" s="22">
        <v>0</v>
      </c>
      <c r="AB202" s="22" t="s">
        <v>6</v>
      </c>
      <c r="AC202" s="22">
        <v>0</v>
      </c>
      <c r="AD202" s="22" t="s">
        <v>6</v>
      </c>
      <c r="AE202" s="22" t="s">
        <v>341</v>
      </c>
      <c r="AF202" s="22" t="s">
        <v>344</v>
      </c>
      <c r="AG202" s="22" t="s">
        <v>343</v>
      </c>
      <c r="AH202" s="30" t="b">
        <v>0</v>
      </c>
      <c r="AI202" s="22" t="s">
        <v>6</v>
      </c>
      <c r="AJ202" s="22" t="s">
        <v>345</v>
      </c>
    </row>
    <row r="203" spans="1:36" x14ac:dyDescent="0.25">
      <c r="A203" s="22" t="s">
        <v>758</v>
      </c>
      <c r="B203" s="22" t="s">
        <v>340</v>
      </c>
      <c r="C203" s="22">
        <v>1</v>
      </c>
      <c r="D203" s="22" t="s">
        <v>761</v>
      </c>
      <c r="E203" s="22" t="s">
        <v>6</v>
      </c>
      <c r="F203" s="22" t="s">
        <v>6</v>
      </c>
      <c r="G203" s="22" t="s">
        <v>6</v>
      </c>
      <c r="H203" s="22" t="s">
        <v>6</v>
      </c>
      <c r="I203" s="22" t="s">
        <v>6</v>
      </c>
      <c r="J203" s="22" t="s">
        <v>777</v>
      </c>
      <c r="K203" s="22">
        <v>1</v>
      </c>
      <c r="L203" s="22">
        <v>14</v>
      </c>
      <c r="M203" s="22">
        <v>14</v>
      </c>
      <c r="N203" s="22">
        <v>41</v>
      </c>
      <c r="O203" s="22">
        <v>109</v>
      </c>
      <c r="P203" s="23">
        <v>1</v>
      </c>
      <c r="Q203" s="22">
        <v>11</v>
      </c>
      <c r="R203" s="22">
        <v>11</v>
      </c>
      <c r="S203" s="22" t="s">
        <v>6</v>
      </c>
      <c r="T203" s="23">
        <v>1</v>
      </c>
      <c r="U203" s="22">
        <v>9</v>
      </c>
      <c r="V203" s="22">
        <v>9</v>
      </c>
      <c r="W203" s="22" t="s">
        <v>6</v>
      </c>
      <c r="X203" s="22" t="s">
        <v>334</v>
      </c>
      <c r="Y203" s="22" t="s">
        <v>27</v>
      </c>
      <c r="Z203" s="22" t="s">
        <v>6</v>
      </c>
      <c r="AA203" s="22">
        <f>2/11%</f>
        <v>18.181818181818183</v>
      </c>
      <c r="AB203" s="22" t="s">
        <v>6</v>
      </c>
      <c r="AC203" s="22">
        <f>5/9%</f>
        <v>55.555555555555557</v>
      </c>
      <c r="AD203" s="22" t="s">
        <v>6</v>
      </c>
      <c r="AE203" s="22" t="s">
        <v>341</v>
      </c>
      <c r="AF203" s="22" t="s">
        <v>342</v>
      </c>
      <c r="AG203" s="22" t="s">
        <v>343</v>
      </c>
      <c r="AH203" s="30" t="b">
        <v>0</v>
      </c>
      <c r="AI203" s="22" t="s">
        <v>6</v>
      </c>
      <c r="AJ203" s="22" t="s">
        <v>346</v>
      </c>
    </row>
    <row r="204" spans="1:36" x14ac:dyDescent="0.25">
      <c r="A204" s="22" t="s">
        <v>758</v>
      </c>
      <c r="B204" s="22" t="s">
        <v>340</v>
      </c>
      <c r="C204" s="22">
        <v>1</v>
      </c>
      <c r="D204" s="22" t="s">
        <v>761</v>
      </c>
      <c r="E204" s="22" t="s">
        <v>6</v>
      </c>
      <c r="F204" s="22" t="s">
        <v>6</v>
      </c>
      <c r="G204" s="22" t="s">
        <v>6</v>
      </c>
      <c r="H204" s="22" t="s">
        <v>6</v>
      </c>
      <c r="I204" s="22" t="s">
        <v>6</v>
      </c>
      <c r="J204" s="22" t="s">
        <v>773</v>
      </c>
      <c r="K204" s="22">
        <v>1</v>
      </c>
      <c r="L204" s="22">
        <v>14</v>
      </c>
      <c r="M204" s="22">
        <v>14</v>
      </c>
      <c r="N204" s="22">
        <v>41</v>
      </c>
      <c r="O204" s="22">
        <v>110</v>
      </c>
      <c r="P204" s="23">
        <v>1</v>
      </c>
      <c r="Q204" s="22">
        <v>2</v>
      </c>
      <c r="R204" s="22">
        <v>2</v>
      </c>
      <c r="S204" s="22">
        <v>2</v>
      </c>
      <c r="T204" s="23">
        <v>1</v>
      </c>
      <c r="U204" s="22">
        <v>5</v>
      </c>
      <c r="V204" s="22">
        <v>5</v>
      </c>
      <c r="W204" s="22">
        <v>5</v>
      </c>
      <c r="X204" s="22" t="s">
        <v>336</v>
      </c>
      <c r="Y204" s="22" t="s">
        <v>327</v>
      </c>
      <c r="Z204" s="22" t="s">
        <v>133</v>
      </c>
      <c r="AA204" s="22">
        <v>2651.77</v>
      </c>
      <c r="AB204" s="22">
        <v>3727.5410000000002</v>
      </c>
      <c r="AC204" s="22">
        <v>4770.7619999999997</v>
      </c>
      <c r="AD204" s="22">
        <v>9151.0560000000005</v>
      </c>
      <c r="AE204" s="22" t="s">
        <v>341</v>
      </c>
      <c r="AF204" s="22" t="s">
        <v>342</v>
      </c>
      <c r="AG204" s="22" t="s">
        <v>343</v>
      </c>
      <c r="AH204" s="30" t="b">
        <v>0</v>
      </c>
      <c r="AI204" s="22" t="s">
        <v>6</v>
      </c>
      <c r="AJ204" s="22" t="s">
        <v>6</v>
      </c>
    </row>
    <row r="205" spans="1:36" x14ac:dyDescent="0.25">
      <c r="A205" s="22" t="s">
        <v>758</v>
      </c>
      <c r="B205" s="22" t="s">
        <v>347</v>
      </c>
      <c r="C205" s="22">
        <v>1</v>
      </c>
      <c r="D205" s="22" t="s">
        <v>139</v>
      </c>
      <c r="E205" s="22" t="s">
        <v>6</v>
      </c>
      <c r="F205" s="22" t="s">
        <v>6</v>
      </c>
      <c r="G205" s="22" t="s">
        <v>633</v>
      </c>
      <c r="H205" s="22" t="s">
        <v>6</v>
      </c>
      <c r="I205" s="22" t="s">
        <v>348</v>
      </c>
      <c r="J205" s="22" t="s">
        <v>24</v>
      </c>
      <c r="K205" s="22" t="s">
        <v>6</v>
      </c>
      <c r="L205" s="22">
        <f>50-13</f>
        <v>37</v>
      </c>
      <c r="M205" s="22">
        <f>50-13</f>
        <v>37</v>
      </c>
      <c r="N205" s="22">
        <v>42</v>
      </c>
      <c r="O205" s="22">
        <v>111</v>
      </c>
      <c r="P205" s="23">
        <v>1</v>
      </c>
      <c r="Q205" s="22">
        <v>16</v>
      </c>
      <c r="R205" s="22">
        <v>16</v>
      </c>
      <c r="S205" s="22" t="s">
        <v>6</v>
      </c>
      <c r="T205" s="23">
        <v>1</v>
      </c>
      <c r="U205" s="22">
        <v>14</v>
      </c>
      <c r="V205" s="22">
        <v>14</v>
      </c>
      <c r="W205" s="22" t="s">
        <v>6</v>
      </c>
      <c r="X205" s="22" t="s">
        <v>205</v>
      </c>
      <c r="Y205" s="22" t="s">
        <v>27</v>
      </c>
      <c r="Z205" s="22" t="s">
        <v>6</v>
      </c>
      <c r="AA205" s="22">
        <v>93.725490196078397</v>
      </c>
      <c r="AB205" s="22" t="s">
        <v>6</v>
      </c>
      <c r="AC205" s="22">
        <v>85.098039215686299</v>
      </c>
      <c r="AD205" s="22" t="s">
        <v>6</v>
      </c>
      <c r="AE205" s="22" t="s">
        <v>628</v>
      </c>
      <c r="AF205" s="22" t="s">
        <v>350</v>
      </c>
      <c r="AG205" s="22" t="s">
        <v>6</v>
      </c>
      <c r="AH205" s="30" t="b">
        <v>0</v>
      </c>
      <c r="AI205" s="22" t="s">
        <v>6</v>
      </c>
      <c r="AJ205" s="22" t="s">
        <v>349</v>
      </c>
    </row>
    <row r="206" spans="1:36" x14ac:dyDescent="0.25">
      <c r="A206" s="22" t="s">
        <v>758</v>
      </c>
      <c r="B206" s="22" t="s">
        <v>351</v>
      </c>
      <c r="C206" s="22">
        <v>1</v>
      </c>
      <c r="D206" s="22" t="s">
        <v>161</v>
      </c>
      <c r="E206" s="22" t="s">
        <v>6</v>
      </c>
      <c r="F206" s="22" t="s">
        <v>6</v>
      </c>
      <c r="G206" s="22" t="s">
        <v>6</v>
      </c>
      <c r="H206" s="22" t="s">
        <v>6</v>
      </c>
      <c r="I206" s="22" t="s">
        <v>352</v>
      </c>
      <c r="J206" s="22" t="s">
        <v>24</v>
      </c>
      <c r="K206" s="22" t="s">
        <v>6</v>
      </c>
      <c r="L206" s="22">
        <v>35</v>
      </c>
      <c r="M206" s="22">
        <v>35</v>
      </c>
      <c r="N206" s="22">
        <v>43</v>
      </c>
      <c r="O206" s="22">
        <v>112</v>
      </c>
      <c r="P206" s="23">
        <v>1</v>
      </c>
      <c r="Q206" s="22">
        <v>17</v>
      </c>
      <c r="R206" s="22">
        <v>17</v>
      </c>
      <c r="S206" s="22" t="s">
        <v>6</v>
      </c>
      <c r="T206" s="23">
        <v>1</v>
      </c>
      <c r="U206" s="22">
        <v>17</v>
      </c>
      <c r="V206" s="22">
        <v>17</v>
      </c>
      <c r="W206" s="22" t="s">
        <v>6</v>
      </c>
      <c r="X206" s="22" t="s">
        <v>205</v>
      </c>
      <c r="Y206" s="22" t="s">
        <v>27</v>
      </c>
      <c r="Z206" s="22" t="s">
        <v>6</v>
      </c>
      <c r="AA206" s="22">
        <f>100-11.8</f>
        <v>88.2</v>
      </c>
      <c r="AB206" s="22" t="s">
        <v>6</v>
      </c>
      <c r="AC206" s="22">
        <f>100-17.6</f>
        <v>82.4</v>
      </c>
      <c r="AD206" s="22" t="s">
        <v>6</v>
      </c>
      <c r="AE206" s="22" t="s">
        <v>6</v>
      </c>
      <c r="AF206" s="22" t="s">
        <v>280</v>
      </c>
      <c r="AG206" s="22" t="s">
        <v>6</v>
      </c>
      <c r="AH206" s="30" t="s">
        <v>671</v>
      </c>
      <c r="AI206" s="22" t="s">
        <v>353</v>
      </c>
      <c r="AJ206" s="22" t="s">
        <v>6</v>
      </c>
    </row>
    <row r="207" spans="1:36" x14ac:dyDescent="0.25">
      <c r="A207" s="22" t="s">
        <v>758</v>
      </c>
      <c r="B207" s="22" t="s">
        <v>351</v>
      </c>
      <c r="C207" s="22">
        <v>1</v>
      </c>
      <c r="D207" s="22" t="s">
        <v>161</v>
      </c>
      <c r="E207" s="22" t="s">
        <v>6</v>
      </c>
      <c r="F207" s="22" t="s">
        <v>6</v>
      </c>
      <c r="G207" s="22" t="s">
        <v>6</v>
      </c>
      <c r="H207" s="22" t="s">
        <v>6</v>
      </c>
      <c r="I207" s="22" t="s">
        <v>352</v>
      </c>
      <c r="J207" s="22" t="s">
        <v>777</v>
      </c>
      <c r="K207" s="22">
        <v>1</v>
      </c>
      <c r="L207" s="22">
        <v>35</v>
      </c>
      <c r="M207" s="22">
        <v>35</v>
      </c>
      <c r="N207" s="22">
        <v>43</v>
      </c>
      <c r="O207" s="22">
        <v>113</v>
      </c>
      <c r="P207" s="23">
        <v>1</v>
      </c>
      <c r="Q207" s="22">
        <v>2</v>
      </c>
      <c r="R207" s="22">
        <v>2</v>
      </c>
      <c r="S207" s="22" t="s">
        <v>6</v>
      </c>
      <c r="T207" s="23">
        <v>1</v>
      </c>
      <c r="U207" s="22">
        <v>3</v>
      </c>
      <c r="V207" s="22">
        <v>3</v>
      </c>
      <c r="W207" s="22" t="s">
        <v>6</v>
      </c>
      <c r="X207" s="22" t="s">
        <v>198</v>
      </c>
      <c r="Y207" s="22" t="s">
        <v>27</v>
      </c>
      <c r="Z207" s="22" t="s">
        <v>6</v>
      </c>
      <c r="AA207" s="22">
        <v>0</v>
      </c>
      <c r="AB207" s="22" t="s">
        <v>6</v>
      </c>
      <c r="AC207" s="22">
        <v>100</v>
      </c>
      <c r="AD207" s="22" t="s">
        <v>6</v>
      </c>
      <c r="AE207" s="22" t="s">
        <v>6</v>
      </c>
      <c r="AF207" s="22" t="s">
        <v>280</v>
      </c>
      <c r="AG207" s="22" t="s">
        <v>6</v>
      </c>
      <c r="AH207" s="30" t="s">
        <v>671</v>
      </c>
      <c r="AI207" s="22" t="s">
        <v>683</v>
      </c>
      <c r="AJ207" s="22" t="s">
        <v>723</v>
      </c>
    </row>
    <row r="208" spans="1:36" x14ac:dyDescent="0.25">
      <c r="A208" s="22" t="s">
        <v>758</v>
      </c>
      <c r="B208" s="22" t="s">
        <v>354</v>
      </c>
      <c r="C208" s="22">
        <v>1</v>
      </c>
      <c r="D208" s="22" t="s">
        <v>615</v>
      </c>
      <c r="E208" s="22" t="s">
        <v>458</v>
      </c>
      <c r="F208" s="22" t="s">
        <v>733</v>
      </c>
      <c r="G208" s="22" t="s">
        <v>6</v>
      </c>
      <c r="H208" s="22" t="s">
        <v>732</v>
      </c>
      <c r="I208" s="22" t="s">
        <v>588</v>
      </c>
      <c r="J208" s="22" t="s">
        <v>777</v>
      </c>
      <c r="K208" s="22">
        <v>1</v>
      </c>
      <c r="L208" s="22">
        <f t="shared" ref="L208:M214" si="4">155-122</f>
        <v>33</v>
      </c>
      <c r="M208" s="22">
        <f t="shared" si="4"/>
        <v>33</v>
      </c>
      <c r="N208" s="22">
        <v>44</v>
      </c>
      <c r="O208" s="22">
        <v>114</v>
      </c>
      <c r="P208" s="23">
        <v>7</v>
      </c>
      <c r="Q208" s="22">
        <v>3</v>
      </c>
      <c r="R208" s="22">
        <v>3</v>
      </c>
      <c r="S208" s="22" t="s">
        <v>6</v>
      </c>
      <c r="T208" s="23">
        <v>1</v>
      </c>
      <c r="U208" s="22">
        <v>10</v>
      </c>
      <c r="V208" s="22">
        <v>10</v>
      </c>
      <c r="W208" s="22" t="s">
        <v>6</v>
      </c>
      <c r="X208" s="22" t="s">
        <v>356</v>
      </c>
      <c r="Y208" s="22" t="s">
        <v>27</v>
      </c>
      <c r="Z208" s="22" t="s">
        <v>6</v>
      </c>
      <c r="AA208" s="22">
        <f>0/3%</f>
        <v>0</v>
      </c>
      <c r="AB208" s="22" t="s">
        <v>6</v>
      </c>
      <c r="AC208" s="22">
        <f>4/10%</f>
        <v>40</v>
      </c>
      <c r="AD208" s="22" t="s">
        <v>6</v>
      </c>
      <c r="AE208" s="22" t="s">
        <v>589</v>
      </c>
      <c r="AF208" s="22" t="s">
        <v>590</v>
      </c>
      <c r="AG208" s="22" t="s">
        <v>357</v>
      </c>
      <c r="AH208" s="30" t="b">
        <v>0</v>
      </c>
      <c r="AI208" s="22" t="s">
        <v>6</v>
      </c>
      <c r="AJ208" s="22" t="s">
        <v>652</v>
      </c>
    </row>
    <row r="209" spans="1:36" x14ac:dyDescent="0.25">
      <c r="A209" s="22" t="s">
        <v>758</v>
      </c>
      <c r="B209" s="22" t="s">
        <v>354</v>
      </c>
      <c r="C209" s="22">
        <v>1</v>
      </c>
      <c r="D209" s="22" t="s">
        <v>761</v>
      </c>
      <c r="E209" s="22" t="s">
        <v>6</v>
      </c>
      <c r="F209" s="22" t="s">
        <v>6</v>
      </c>
      <c r="G209" s="22" t="s">
        <v>6</v>
      </c>
      <c r="H209" s="22" t="s">
        <v>6</v>
      </c>
      <c r="I209" s="22" t="s">
        <v>6</v>
      </c>
      <c r="J209" s="22" t="s">
        <v>777</v>
      </c>
      <c r="K209" s="22">
        <v>1</v>
      </c>
      <c r="L209" s="22">
        <f t="shared" si="4"/>
        <v>33</v>
      </c>
      <c r="M209" s="22">
        <f t="shared" si="4"/>
        <v>33</v>
      </c>
      <c r="N209" s="22">
        <v>44</v>
      </c>
      <c r="O209" s="22">
        <v>114</v>
      </c>
      <c r="P209" s="23">
        <v>1</v>
      </c>
      <c r="Q209" s="22">
        <v>8</v>
      </c>
      <c r="R209" s="22">
        <v>8</v>
      </c>
      <c r="S209" s="22" t="s">
        <v>6</v>
      </c>
      <c r="T209" s="23">
        <v>1</v>
      </c>
      <c r="U209" s="22">
        <v>10</v>
      </c>
      <c r="V209" s="22">
        <v>10</v>
      </c>
      <c r="W209" s="22" t="s">
        <v>6</v>
      </c>
      <c r="X209" s="22" t="s">
        <v>356</v>
      </c>
      <c r="Y209" s="22" t="s">
        <v>27</v>
      </c>
      <c r="Z209" s="22" t="s">
        <v>6</v>
      </c>
      <c r="AA209" s="22">
        <f>6/8%</f>
        <v>75</v>
      </c>
      <c r="AB209" s="22" t="s">
        <v>6</v>
      </c>
      <c r="AC209" s="22">
        <f>4/10%</f>
        <v>40</v>
      </c>
      <c r="AD209" s="22" t="s">
        <v>6</v>
      </c>
      <c r="AE209" s="22" t="s">
        <v>592</v>
      </c>
      <c r="AF209" s="22" t="s">
        <v>355</v>
      </c>
      <c r="AG209" s="22" t="s">
        <v>357</v>
      </c>
      <c r="AH209" s="30" t="b">
        <v>0</v>
      </c>
      <c r="AI209" s="22" t="s">
        <v>6</v>
      </c>
      <c r="AJ209" s="22" t="s">
        <v>361</v>
      </c>
    </row>
    <row r="210" spans="1:36" x14ac:dyDescent="0.25">
      <c r="A210" s="22" t="s">
        <v>758</v>
      </c>
      <c r="B210" s="22" t="s">
        <v>354</v>
      </c>
      <c r="C210" s="22">
        <v>1</v>
      </c>
      <c r="D210" s="22" t="s">
        <v>761</v>
      </c>
      <c r="E210" s="22" t="s">
        <v>6</v>
      </c>
      <c r="F210" s="22" t="s">
        <v>6</v>
      </c>
      <c r="G210" s="22" t="s">
        <v>6</v>
      </c>
      <c r="H210" s="22" t="s">
        <v>6</v>
      </c>
      <c r="I210" s="22" t="s">
        <v>6</v>
      </c>
      <c r="J210" s="22" t="s">
        <v>777</v>
      </c>
      <c r="K210" s="22">
        <v>1</v>
      </c>
      <c r="L210" s="22">
        <f t="shared" si="4"/>
        <v>33</v>
      </c>
      <c r="M210" s="22">
        <f t="shared" si="4"/>
        <v>33</v>
      </c>
      <c r="N210" s="22">
        <v>44</v>
      </c>
      <c r="O210" s="22">
        <v>114</v>
      </c>
      <c r="P210" s="23">
        <v>2</v>
      </c>
      <c r="Q210" s="22">
        <v>6</v>
      </c>
      <c r="R210" s="22">
        <v>6</v>
      </c>
      <c r="S210" s="22" t="s">
        <v>6</v>
      </c>
      <c r="T210" s="23">
        <v>1</v>
      </c>
      <c r="U210" s="22">
        <v>10</v>
      </c>
      <c r="V210" s="22">
        <v>10</v>
      </c>
      <c r="W210" s="22" t="s">
        <v>6</v>
      </c>
      <c r="X210" s="22" t="s">
        <v>356</v>
      </c>
      <c r="Y210" s="22" t="s">
        <v>27</v>
      </c>
      <c r="Z210" s="22" t="s">
        <v>6</v>
      </c>
      <c r="AA210" s="22">
        <f>4/6%</f>
        <v>66.666666666666671</v>
      </c>
      <c r="AB210" s="22" t="s">
        <v>6</v>
      </c>
      <c r="AC210" s="22">
        <f>4/10%</f>
        <v>40</v>
      </c>
      <c r="AD210" s="22" t="s">
        <v>6</v>
      </c>
      <c r="AE210" s="22" t="s">
        <v>593</v>
      </c>
      <c r="AF210" s="22" t="s">
        <v>355</v>
      </c>
      <c r="AG210" s="22" t="s">
        <v>357</v>
      </c>
      <c r="AH210" s="30" t="b">
        <v>0</v>
      </c>
      <c r="AI210" s="22" t="s">
        <v>6</v>
      </c>
      <c r="AJ210" s="22" t="s">
        <v>362</v>
      </c>
    </row>
    <row r="211" spans="1:36" x14ac:dyDescent="0.25">
      <c r="A211" s="22" t="s">
        <v>758</v>
      </c>
      <c r="B211" s="22" t="s">
        <v>354</v>
      </c>
      <c r="C211" s="22">
        <v>1</v>
      </c>
      <c r="D211" s="22" t="s">
        <v>761</v>
      </c>
      <c r="E211" s="22" t="s">
        <v>6</v>
      </c>
      <c r="F211" s="22" t="s">
        <v>6</v>
      </c>
      <c r="G211" s="22" t="s">
        <v>6</v>
      </c>
      <c r="H211" s="22" t="s">
        <v>6</v>
      </c>
      <c r="I211" s="22" t="s">
        <v>6</v>
      </c>
      <c r="J211" s="22" t="s">
        <v>777</v>
      </c>
      <c r="K211" s="22">
        <v>1</v>
      </c>
      <c r="L211" s="22">
        <f t="shared" si="4"/>
        <v>33</v>
      </c>
      <c r="M211" s="22">
        <f t="shared" si="4"/>
        <v>33</v>
      </c>
      <c r="N211" s="22">
        <v>44</v>
      </c>
      <c r="O211" s="22">
        <v>114</v>
      </c>
      <c r="P211" s="23">
        <v>3</v>
      </c>
      <c r="Q211" s="22">
        <v>11</v>
      </c>
      <c r="R211" s="22">
        <v>11</v>
      </c>
      <c r="S211" s="22" t="s">
        <v>6</v>
      </c>
      <c r="T211" s="23">
        <v>1</v>
      </c>
      <c r="U211" s="22">
        <v>10</v>
      </c>
      <c r="V211" s="22">
        <v>10</v>
      </c>
      <c r="W211" s="22" t="s">
        <v>6</v>
      </c>
      <c r="X211" s="22" t="s">
        <v>356</v>
      </c>
      <c r="Y211" s="22" t="s">
        <v>27</v>
      </c>
      <c r="Z211" s="22" t="s">
        <v>6</v>
      </c>
      <c r="AA211" s="22">
        <f>9/11%</f>
        <v>81.818181818181813</v>
      </c>
      <c r="AB211" s="22" t="s">
        <v>6</v>
      </c>
      <c r="AC211" s="22">
        <f>4/10%</f>
        <v>40</v>
      </c>
      <c r="AD211" s="22" t="s">
        <v>6</v>
      </c>
      <c r="AE211" s="22" t="s">
        <v>594</v>
      </c>
      <c r="AF211" s="22" t="s">
        <v>355</v>
      </c>
      <c r="AG211" s="22" t="s">
        <v>357</v>
      </c>
      <c r="AH211" s="30" t="b">
        <v>0</v>
      </c>
      <c r="AI211" s="22" t="s">
        <v>6</v>
      </c>
      <c r="AJ211" s="22" t="s">
        <v>362</v>
      </c>
    </row>
    <row r="212" spans="1:36" x14ac:dyDescent="0.25">
      <c r="A212" s="22" t="s">
        <v>758</v>
      </c>
      <c r="B212" s="22" t="s">
        <v>354</v>
      </c>
      <c r="C212" s="22">
        <v>1</v>
      </c>
      <c r="D212" s="22" t="s">
        <v>761</v>
      </c>
      <c r="E212" s="22" t="s">
        <v>6</v>
      </c>
      <c r="F212" s="22" t="s">
        <v>6</v>
      </c>
      <c r="G212" s="22" t="s">
        <v>6</v>
      </c>
      <c r="H212" s="22" t="s">
        <v>6</v>
      </c>
      <c r="I212" s="22" t="s">
        <v>6</v>
      </c>
      <c r="J212" s="22" t="s">
        <v>773</v>
      </c>
      <c r="K212" s="22">
        <v>1</v>
      </c>
      <c r="L212" s="22">
        <f t="shared" si="4"/>
        <v>33</v>
      </c>
      <c r="M212" s="22">
        <f t="shared" si="4"/>
        <v>33</v>
      </c>
      <c r="N212" s="22">
        <v>44</v>
      </c>
      <c r="O212" s="22">
        <v>115</v>
      </c>
      <c r="P212" s="23">
        <v>1</v>
      </c>
      <c r="Q212" s="22">
        <v>6</v>
      </c>
      <c r="R212" s="22">
        <v>6</v>
      </c>
      <c r="S212" s="22">
        <v>6</v>
      </c>
      <c r="T212" s="23">
        <v>1</v>
      </c>
      <c r="U212" s="22">
        <v>4</v>
      </c>
      <c r="V212" s="22">
        <v>4</v>
      </c>
      <c r="W212" s="22">
        <v>4</v>
      </c>
      <c r="X212" s="22" t="s">
        <v>358</v>
      </c>
      <c r="Y212" s="22" t="s">
        <v>359</v>
      </c>
      <c r="Z212" s="22" t="s">
        <v>133</v>
      </c>
      <c r="AA212" s="22">
        <v>2197.4533000000001</v>
      </c>
      <c r="AB212" s="22">
        <v>3824.3283499999998</v>
      </c>
      <c r="AC212" s="22">
        <v>99.422499999999999</v>
      </c>
      <c r="AD212" s="22">
        <v>54.664529999999999</v>
      </c>
      <c r="AE212" s="22" t="s">
        <v>592</v>
      </c>
      <c r="AF212" s="22" t="s">
        <v>355</v>
      </c>
      <c r="AG212" s="22" t="s">
        <v>357</v>
      </c>
      <c r="AH212" s="30" t="b">
        <v>0</v>
      </c>
      <c r="AI212" s="22" t="s">
        <v>6</v>
      </c>
      <c r="AJ212" s="22" t="s">
        <v>363</v>
      </c>
    </row>
    <row r="213" spans="1:36" x14ac:dyDescent="0.25">
      <c r="A213" s="22" t="s">
        <v>758</v>
      </c>
      <c r="B213" s="22" t="s">
        <v>354</v>
      </c>
      <c r="C213" s="22">
        <v>1</v>
      </c>
      <c r="D213" s="22" t="s">
        <v>761</v>
      </c>
      <c r="E213" s="22" t="s">
        <v>6</v>
      </c>
      <c r="F213" s="22" t="s">
        <v>6</v>
      </c>
      <c r="G213" s="22" t="s">
        <v>6</v>
      </c>
      <c r="H213" s="22" t="s">
        <v>6</v>
      </c>
      <c r="I213" s="22" t="s">
        <v>6</v>
      </c>
      <c r="J213" s="22" t="s">
        <v>773</v>
      </c>
      <c r="K213" s="22">
        <v>1</v>
      </c>
      <c r="L213" s="22">
        <f t="shared" si="4"/>
        <v>33</v>
      </c>
      <c r="M213" s="22">
        <f t="shared" si="4"/>
        <v>33</v>
      </c>
      <c r="N213" s="22">
        <v>44</v>
      </c>
      <c r="O213" s="22">
        <v>115</v>
      </c>
      <c r="P213" s="23">
        <v>2</v>
      </c>
      <c r="Q213" s="22">
        <v>4</v>
      </c>
      <c r="R213" s="22">
        <v>4</v>
      </c>
      <c r="S213" s="22">
        <v>4</v>
      </c>
      <c r="T213" s="23">
        <v>1</v>
      </c>
      <c r="U213" s="22">
        <v>4</v>
      </c>
      <c r="V213" s="22">
        <v>4</v>
      </c>
      <c r="W213" s="22">
        <v>4</v>
      </c>
      <c r="X213" s="22" t="s">
        <v>358</v>
      </c>
      <c r="Y213" s="22" t="s">
        <v>359</v>
      </c>
      <c r="Z213" s="22" t="s">
        <v>133</v>
      </c>
      <c r="AA213" s="22">
        <v>2040.2449999999999</v>
      </c>
      <c r="AB213" s="22">
        <v>2683.6164800000001</v>
      </c>
      <c r="AC213" s="22">
        <v>99.422499999999999</v>
      </c>
      <c r="AD213" s="22">
        <v>54.664529999999999</v>
      </c>
      <c r="AE213" s="22" t="s">
        <v>593</v>
      </c>
      <c r="AF213" s="22" t="s">
        <v>355</v>
      </c>
      <c r="AG213" s="22" t="s">
        <v>357</v>
      </c>
      <c r="AH213" s="30" t="b">
        <v>0</v>
      </c>
      <c r="AI213" s="22" t="s">
        <v>6</v>
      </c>
      <c r="AJ213" s="22" t="s">
        <v>363</v>
      </c>
    </row>
    <row r="214" spans="1:36" x14ac:dyDescent="0.25">
      <c r="A214" s="22" t="s">
        <v>758</v>
      </c>
      <c r="B214" s="22" t="s">
        <v>354</v>
      </c>
      <c r="C214" s="22">
        <v>1</v>
      </c>
      <c r="D214" s="22" t="s">
        <v>761</v>
      </c>
      <c r="E214" s="22" t="s">
        <v>6</v>
      </c>
      <c r="F214" s="22" t="s">
        <v>6</v>
      </c>
      <c r="G214" s="22" t="s">
        <v>6</v>
      </c>
      <c r="H214" s="22" t="s">
        <v>6</v>
      </c>
      <c r="I214" s="22" t="s">
        <v>6</v>
      </c>
      <c r="J214" s="22" t="s">
        <v>773</v>
      </c>
      <c r="K214" s="22">
        <v>1</v>
      </c>
      <c r="L214" s="22">
        <f t="shared" si="4"/>
        <v>33</v>
      </c>
      <c r="M214" s="22">
        <f t="shared" si="4"/>
        <v>33</v>
      </c>
      <c r="N214" s="22">
        <v>44</v>
      </c>
      <c r="O214" s="22">
        <v>115</v>
      </c>
      <c r="P214" s="23">
        <v>3</v>
      </c>
      <c r="Q214" s="22">
        <v>9</v>
      </c>
      <c r="R214" s="22">
        <v>9</v>
      </c>
      <c r="S214" s="22">
        <v>9</v>
      </c>
      <c r="T214" s="23">
        <v>1</v>
      </c>
      <c r="U214" s="22">
        <v>4</v>
      </c>
      <c r="V214" s="22">
        <v>4</v>
      </c>
      <c r="W214" s="22">
        <v>4</v>
      </c>
      <c r="X214" s="22" t="s">
        <v>358</v>
      </c>
      <c r="Y214" s="22" t="s">
        <v>359</v>
      </c>
      <c r="Z214" s="22" t="s">
        <v>133</v>
      </c>
      <c r="AA214" s="22">
        <v>1361.3144</v>
      </c>
      <c r="AB214" s="22">
        <v>2358.6563599999999</v>
      </c>
      <c r="AC214" s="22">
        <v>99.422499999999999</v>
      </c>
      <c r="AD214" s="22">
        <v>54.664529999999999</v>
      </c>
      <c r="AE214" s="22" t="s">
        <v>594</v>
      </c>
      <c r="AF214" s="22" t="s">
        <v>355</v>
      </c>
      <c r="AG214" s="22" t="s">
        <v>357</v>
      </c>
      <c r="AH214" s="30" t="b">
        <v>0</v>
      </c>
      <c r="AI214" s="22" t="s">
        <v>6</v>
      </c>
      <c r="AJ214" s="22" t="s">
        <v>363</v>
      </c>
    </row>
    <row r="215" spans="1:36" x14ac:dyDescent="0.25">
      <c r="A215" s="22" t="s">
        <v>758</v>
      </c>
      <c r="B215" s="22" t="s">
        <v>354</v>
      </c>
      <c r="C215" s="22">
        <v>1</v>
      </c>
      <c r="D215" s="22" t="s">
        <v>615</v>
      </c>
      <c r="E215" s="22" t="s">
        <v>458</v>
      </c>
      <c r="F215" s="22" t="s">
        <v>733</v>
      </c>
      <c r="G215" s="22" t="s">
        <v>6</v>
      </c>
      <c r="H215" s="22" t="s">
        <v>732</v>
      </c>
      <c r="I215" s="22" t="s">
        <v>588</v>
      </c>
      <c r="J215" s="22" t="s">
        <v>24</v>
      </c>
      <c r="K215" s="22" t="s">
        <v>6</v>
      </c>
      <c r="L215" s="22">
        <f>208-122</f>
        <v>86</v>
      </c>
      <c r="M215" s="22">
        <f>208-122</f>
        <v>86</v>
      </c>
      <c r="N215" s="22">
        <v>44</v>
      </c>
      <c r="O215" s="22">
        <v>116</v>
      </c>
      <c r="P215" s="23">
        <v>7</v>
      </c>
      <c r="Q215" s="22">
        <v>4</v>
      </c>
      <c r="R215" s="22">
        <v>4</v>
      </c>
      <c r="S215" s="22" t="s">
        <v>6</v>
      </c>
      <c r="T215" s="23">
        <v>1</v>
      </c>
      <c r="U215" s="22">
        <v>10</v>
      </c>
      <c r="V215" s="22">
        <v>10</v>
      </c>
      <c r="W215" s="22" t="s">
        <v>6</v>
      </c>
      <c r="X215" s="22" t="s">
        <v>205</v>
      </c>
      <c r="Y215" s="22" t="s">
        <v>27</v>
      </c>
      <c r="Z215" s="22" t="s">
        <v>6</v>
      </c>
      <c r="AA215" s="22">
        <f>1/4%</f>
        <v>25</v>
      </c>
      <c r="AB215" s="22" t="s">
        <v>6</v>
      </c>
      <c r="AC215" s="22">
        <v>0</v>
      </c>
      <c r="AD215" s="22" t="s">
        <v>6</v>
      </c>
      <c r="AE215" s="22" t="s">
        <v>591</v>
      </c>
      <c r="AF215" s="22" t="s">
        <v>651</v>
      </c>
      <c r="AG215" s="22" t="s">
        <v>6</v>
      </c>
      <c r="AH215" s="30" t="b">
        <v>0</v>
      </c>
      <c r="AI215" s="22" t="s">
        <v>6</v>
      </c>
      <c r="AJ215" s="22" t="s">
        <v>360</v>
      </c>
    </row>
    <row r="216" spans="1:36" ht="19" customHeight="1" x14ac:dyDescent="0.25">
      <c r="A216" s="22" t="s">
        <v>758</v>
      </c>
      <c r="B216" s="22" t="s">
        <v>354</v>
      </c>
      <c r="C216" s="22">
        <v>1</v>
      </c>
      <c r="D216" s="22" t="s">
        <v>761</v>
      </c>
      <c r="E216" s="22" t="s">
        <v>6</v>
      </c>
      <c r="F216" s="22" t="s">
        <v>6</v>
      </c>
      <c r="G216" s="22" t="s">
        <v>6</v>
      </c>
      <c r="H216" s="22" t="s">
        <v>6</v>
      </c>
      <c r="I216" s="22" t="s">
        <v>6</v>
      </c>
      <c r="J216" s="22" t="s">
        <v>24</v>
      </c>
      <c r="K216" s="22" t="s">
        <v>6</v>
      </c>
      <c r="L216" s="22">
        <f>208-122</f>
        <v>86</v>
      </c>
      <c r="M216" s="22">
        <f>208-122</f>
        <v>86</v>
      </c>
      <c r="N216" s="22">
        <v>44</v>
      </c>
      <c r="O216" s="22">
        <v>116</v>
      </c>
      <c r="P216" s="23">
        <v>1</v>
      </c>
      <c r="Q216" s="22">
        <v>25</v>
      </c>
      <c r="R216" s="22">
        <v>25</v>
      </c>
      <c r="S216" s="22" t="s">
        <v>6</v>
      </c>
      <c r="T216" s="23">
        <v>1</v>
      </c>
      <c r="U216" s="22">
        <v>10</v>
      </c>
      <c r="V216" s="22">
        <v>10</v>
      </c>
      <c r="W216" s="22" t="s">
        <v>6</v>
      </c>
      <c r="X216" s="22" t="s">
        <v>205</v>
      </c>
      <c r="Y216" s="22" t="s">
        <v>27</v>
      </c>
      <c r="Z216" s="22" t="s">
        <v>6</v>
      </c>
      <c r="AA216" s="22">
        <v>32.096069868995599</v>
      </c>
      <c r="AB216" s="22" t="s">
        <v>6</v>
      </c>
      <c r="AC216" s="22">
        <v>0</v>
      </c>
      <c r="AD216" s="22" t="s">
        <v>6</v>
      </c>
      <c r="AE216" s="22" t="s">
        <v>649</v>
      </c>
      <c r="AF216" s="22" t="s">
        <v>650</v>
      </c>
      <c r="AG216" s="22" t="s">
        <v>6</v>
      </c>
      <c r="AH216" s="30" t="b">
        <v>0</v>
      </c>
      <c r="AI216" s="22" t="s">
        <v>6</v>
      </c>
      <c r="AJ216" s="22" t="s">
        <v>606</v>
      </c>
    </row>
    <row r="217" spans="1:36" ht="21" customHeight="1" x14ac:dyDescent="0.25">
      <c r="A217" s="22" t="s">
        <v>758</v>
      </c>
      <c r="B217" s="22" t="s">
        <v>364</v>
      </c>
      <c r="C217" s="22">
        <v>1</v>
      </c>
      <c r="D217" s="22" t="s">
        <v>139</v>
      </c>
      <c r="E217" s="22" t="s">
        <v>6</v>
      </c>
      <c r="F217" s="22" t="s">
        <v>6</v>
      </c>
      <c r="G217" s="22" t="s">
        <v>815</v>
      </c>
      <c r="H217" s="22" t="s">
        <v>6</v>
      </c>
      <c r="I217" s="22" t="s">
        <v>271</v>
      </c>
      <c r="J217" s="22" t="s">
        <v>24</v>
      </c>
      <c r="K217" s="22" t="s">
        <v>6</v>
      </c>
      <c r="L217" s="22">
        <v>42</v>
      </c>
      <c r="M217" s="22">
        <v>42</v>
      </c>
      <c r="N217" s="22">
        <v>45</v>
      </c>
      <c r="O217" s="22">
        <v>117</v>
      </c>
      <c r="P217" s="23">
        <v>1</v>
      </c>
      <c r="Q217" s="22">
        <f>13/2</f>
        <v>6.5</v>
      </c>
      <c r="R217" s="22">
        <f>13/2</f>
        <v>6.5</v>
      </c>
      <c r="S217" s="22" t="s">
        <v>6</v>
      </c>
      <c r="T217" s="23">
        <v>1</v>
      </c>
      <c r="U217" s="22">
        <f>13/2</f>
        <v>6.5</v>
      </c>
      <c r="V217" s="22">
        <f>13/2</f>
        <v>6.5</v>
      </c>
      <c r="W217" s="22" t="s">
        <v>6</v>
      </c>
      <c r="X217" s="22" t="s">
        <v>205</v>
      </c>
      <c r="Y217" s="22" t="s">
        <v>27</v>
      </c>
      <c r="Z217" s="22" t="s">
        <v>6</v>
      </c>
      <c r="AA217" s="22">
        <v>0</v>
      </c>
      <c r="AB217" s="22" t="s">
        <v>6</v>
      </c>
      <c r="AC217" s="22">
        <v>0</v>
      </c>
      <c r="AD217" s="22" t="s">
        <v>6</v>
      </c>
      <c r="AE217" s="22" t="s">
        <v>365</v>
      </c>
      <c r="AF217" s="22" t="s">
        <v>366</v>
      </c>
      <c r="AG217" s="22" t="s">
        <v>6</v>
      </c>
      <c r="AH217" s="30" t="b">
        <v>0</v>
      </c>
      <c r="AI217" s="22" t="s">
        <v>6</v>
      </c>
      <c r="AJ217" s="22" t="s">
        <v>771</v>
      </c>
    </row>
    <row r="218" spans="1:36" ht="19" customHeight="1" x14ac:dyDescent="0.25">
      <c r="A218" s="22" t="s">
        <v>758</v>
      </c>
      <c r="B218" s="22" t="s">
        <v>367</v>
      </c>
      <c r="C218" s="22">
        <v>1</v>
      </c>
      <c r="D218" s="22" t="s">
        <v>615</v>
      </c>
      <c r="E218" s="22" t="s">
        <v>368</v>
      </c>
      <c r="F218" s="22" t="s">
        <v>733</v>
      </c>
      <c r="G218" s="22" t="s">
        <v>6</v>
      </c>
      <c r="H218" s="22" t="s">
        <v>730</v>
      </c>
      <c r="I218" s="22" t="s">
        <v>729</v>
      </c>
      <c r="J218" s="22" t="s">
        <v>773</v>
      </c>
      <c r="K218" s="22">
        <v>1</v>
      </c>
      <c r="L218" s="22" t="s">
        <v>6</v>
      </c>
      <c r="M218" s="22" t="s">
        <v>6</v>
      </c>
      <c r="N218" s="22">
        <v>46</v>
      </c>
      <c r="O218" s="22">
        <v>119</v>
      </c>
      <c r="P218" s="23">
        <v>1</v>
      </c>
      <c r="Q218" s="22">
        <v>22</v>
      </c>
      <c r="R218" s="22">
        <v>22</v>
      </c>
      <c r="S218" s="22">
        <v>22</v>
      </c>
      <c r="T218" s="23">
        <v>1</v>
      </c>
      <c r="U218" s="22">
        <v>8</v>
      </c>
      <c r="V218" s="22">
        <v>8</v>
      </c>
      <c r="W218" s="22">
        <v>8</v>
      </c>
      <c r="X218" s="22" t="s">
        <v>369</v>
      </c>
      <c r="Y218" s="22" t="s">
        <v>327</v>
      </c>
      <c r="Z218" s="22" t="s">
        <v>51</v>
      </c>
      <c r="AA218" s="22">
        <v>300</v>
      </c>
      <c r="AB218" s="22">
        <v>1135</v>
      </c>
      <c r="AC218" s="22">
        <v>2132</v>
      </c>
      <c r="AD218" s="22">
        <v>4780</v>
      </c>
      <c r="AE218" s="22" t="s">
        <v>6</v>
      </c>
      <c r="AF218" s="22" t="s">
        <v>370</v>
      </c>
      <c r="AG218" s="22" t="s">
        <v>6</v>
      </c>
      <c r="AH218" s="30" t="b">
        <v>0</v>
      </c>
      <c r="AI218" s="22" t="s">
        <v>6</v>
      </c>
      <c r="AJ218" s="22" t="s">
        <v>371</v>
      </c>
    </row>
    <row r="219" spans="1:36" x14ac:dyDescent="0.25">
      <c r="A219" s="22" t="s">
        <v>758</v>
      </c>
      <c r="B219" s="22" t="s">
        <v>372</v>
      </c>
      <c r="C219" s="22">
        <v>1</v>
      </c>
      <c r="D219" s="22" t="s">
        <v>161</v>
      </c>
      <c r="E219" s="22" t="s">
        <v>310</v>
      </c>
      <c r="F219" s="22" t="s">
        <v>733</v>
      </c>
      <c r="G219" s="22" t="s">
        <v>6</v>
      </c>
      <c r="H219" s="22" t="s">
        <v>6</v>
      </c>
      <c r="I219" s="22" t="s">
        <v>6</v>
      </c>
      <c r="J219" s="22" t="s">
        <v>777</v>
      </c>
      <c r="K219" s="22">
        <v>1</v>
      </c>
      <c r="L219" s="22">
        <v>12</v>
      </c>
      <c r="M219" s="22">
        <v>12</v>
      </c>
      <c r="N219" s="22">
        <v>47</v>
      </c>
      <c r="O219" s="22">
        <v>120</v>
      </c>
      <c r="P219" s="23">
        <v>1</v>
      </c>
      <c r="Q219" s="22">
        <v>28.2</v>
      </c>
      <c r="R219" s="22">
        <v>28.2</v>
      </c>
      <c r="S219" s="22" t="s">
        <v>6</v>
      </c>
      <c r="T219" s="23">
        <v>1</v>
      </c>
      <c r="U219" s="22">
        <v>28.2</v>
      </c>
      <c r="V219" s="22">
        <v>28.2</v>
      </c>
      <c r="W219" s="22" t="s">
        <v>6</v>
      </c>
      <c r="X219" s="22" t="s">
        <v>374</v>
      </c>
      <c r="Y219" s="22" t="s">
        <v>27</v>
      </c>
      <c r="Z219" s="22" t="s">
        <v>6</v>
      </c>
      <c r="AA219" s="22">
        <v>58.035715988704098</v>
      </c>
      <c r="AB219" s="22" t="s">
        <v>6</v>
      </c>
      <c r="AC219" s="22">
        <v>74.7767874172756</v>
      </c>
      <c r="AD219" s="22" t="s">
        <v>6</v>
      </c>
      <c r="AE219" s="22" t="s">
        <v>6</v>
      </c>
      <c r="AF219" s="22" t="s">
        <v>267</v>
      </c>
      <c r="AG219" s="22" t="s">
        <v>6</v>
      </c>
      <c r="AH219" s="30" t="b">
        <v>0</v>
      </c>
      <c r="AI219" s="22" t="s">
        <v>6</v>
      </c>
      <c r="AJ219" s="22" t="s">
        <v>373</v>
      </c>
    </row>
    <row r="220" spans="1:36" x14ac:dyDescent="0.25">
      <c r="A220" s="22" t="s">
        <v>758</v>
      </c>
      <c r="B220" s="22" t="s">
        <v>372</v>
      </c>
      <c r="C220" s="22">
        <v>1</v>
      </c>
      <c r="D220" s="22" t="s">
        <v>161</v>
      </c>
      <c r="E220" s="22" t="s">
        <v>310</v>
      </c>
      <c r="F220" s="22" t="s">
        <v>733</v>
      </c>
      <c r="G220" s="22" t="s">
        <v>6</v>
      </c>
      <c r="H220" s="22" t="s">
        <v>6</v>
      </c>
      <c r="I220" s="22" t="s">
        <v>6</v>
      </c>
      <c r="J220" s="22" t="s">
        <v>773</v>
      </c>
      <c r="K220" s="22">
        <v>1</v>
      </c>
      <c r="L220" s="22">
        <v>12</v>
      </c>
      <c r="M220" s="22">
        <v>12</v>
      </c>
      <c r="N220" s="22">
        <v>47</v>
      </c>
      <c r="O220" s="22">
        <v>121</v>
      </c>
      <c r="P220" s="23">
        <v>1</v>
      </c>
      <c r="Q220" s="22">
        <f>$Q$219*$AA$219/100</f>
        <v>16.366071908814558</v>
      </c>
      <c r="R220" s="22">
        <f>$Q$219*$AA$219/100</f>
        <v>16.366071908814558</v>
      </c>
      <c r="S220" s="22">
        <f>$Q$219*$AA$219/100</f>
        <v>16.366071908814558</v>
      </c>
      <c r="T220" s="23">
        <v>1</v>
      </c>
      <c r="U220" s="22">
        <f>$U$219*$AC$219/100</f>
        <v>21.087054051671718</v>
      </c>
      <c r="V220" s="22">
        <f>$U$219*$AC$219/100</f>
        <v>21.087054051671718</v>
      </c>
      <c r="W220" s="22">
        <f>$U$219*$AC$219/100</f>
        <v>21.087054051671718</v>
      </c>
      <c r="X220" s="22" t="s">
        <v>375</v>
      </c>
      <c r="Y220" s="22" t="s">
        <v>376</v>
      </c>
      <c r="Z220" s="22" t="s">
        <v>51</v>
      </c>
      <c r="AA220" s="22">
        <v>7.9035874439461899</v>
      </c>
      <c r="AB220" s="22">
        <v>0.84489999999999998</v>
      </c>
      <c r="AC220" s="22">
        <v>11.300448430493301</v>
      </c>
      <c r="AD220" s="22">
        <v>0.81799999999999995</v>
      </c>
      <c r="AE220" s="22" t="s">
        <v>6</v>
      </c>
      <c r="AF220" s="22" t="s">
        <v>272</v>
      </c>
      <c r="AG220" s="22" t="s">
        <v>6</v>
      </c>
      <c r="AH220" s="30" t="b">
        <v>0</v>
      </c>
      <c r="AI220" s="22" t="s">
        <v>6</v>
      </c>
      <c r="AJ220" s="22" t="s">
        <v>783</v>
      </c>
    </row>
    <row r="221" spans="1:36" x14ac:dyDescent="0.25">
      <c r="A221" s="22" t="s">
        <v>758</v>
      </c>
      <c r="B221" s="22" t="s">
        <v>377</v>
      </c>
      <c r="C221" s="22">
        <v>1</v>
      </c>
      <c r="D221" s="22" t="s">
        <v>161</v>
      </c>
      <c r="E221" s="22" t="s">
        <v>310</v>
      </c>
      <c r="F221" s="22" t="s">
        <v>733</v>
      </c>
      <c r="G221" s="22" t="s">
        <v>6</v>
      </c>
      <c r="H221" s="22" t="s">
        <v>6</v>
      </c>
      <c r="I221" s="22" t="s">
        <v>6</v>
      </c>
      <c r="J221" s="22" t="s">
        <v>24</v>
      </c>
      <c r="K221" s="22" t="s">
        <v>6</v>
      </c>
      <c r="L221" s="22">
        <v>16</v>
      </c>
      <c r="M221" s="22">
        <v>16</v>
      </c>
      <c r="N221" s="22">
        <v>48</v>
      </c>
      <c r="O221" s="22">
        <v>122</v>
      </c>
      <c r="P221" s="23">
        <v>1</v>
      </c>
      <c r="Q221" s="22">
        <v>16</v>
      </c>
      <c r="R221" s="22">
        <v>16</v>
      </c>
      <c r="S221" s="22" t="s">
        <v>6</v>
      </c>
      <c r="T221" s="23">
        <v>1</v>
      </c>
      <c r="U221" s="22">
        <v>16</v>
      </c>
      <c r="V221" s="22">
        <v>16</v>
      </c>
      <c r="W221" s="22" t="s">
        <v>6</v>
      </c>
      <c r="X221" s="22" t="s">
        <v>205</v>
      </c>
      <c r="Y221" s="22" t="s">
        <v>27</v>
      </c>
      <c r="Z221" s="22" t="s">
        <v>6</v>
      </c>
      <c r="AA221" s="22">
        <f>2/16%</f>
        <v>12.5</v>
      </c>
      <c r="AB221" s="22" t="s">
        <v>6</v>
      </c>
      <c r="AC221" s="22">
        <f>1/16%</f>
        <v>6.25</v>
      </c>
      <c r="AD221" s="22" t="s">
        <v>6</v>
      </c>
      <c r="AE221" s="22" t="s">
        <v>6</v>
      </c>
      <c r="AF221" s="22" t="s">
        <v>380</v>
      </c>
      <c r="AG221" s="22" t="s">
        <v>381</v>
      </c>
      <c r="AH221" s="30" t="b">
        <v>0</v>
      </c>
      <c r="AI221" s="22" t="s">
        <v>6</v>
      </c>
      <c r="AJ221" s="22" t="s">
        <v>6</v>
      </c>
    </row>
    <row r="222" spans="1:36" x14ac:dyDescent="0.25">
      <c r="A222" s="22" t="s">
        <v>758</v>
      </c>
      <c r="B222" s="22" t="s">
        <v>377</v>
      </c>
      <c r="C222" s="22">
        <v>1</v>
      </c>
      <c r="D222" s="22" t="s">
        <v>161</v>
      </c>
      <c r="E222" s="22" t="s">
        <v>379</v>
      </c>
      <c r="F222" s="22" t="s">
        <v>734</v>
      </c>
      <c r="G222" s="22" t="s">
        <v>6</v>
      </c>
      <c r="H222" s="22" t="s">
        <v>6</v>
      </c>
      <c r="I222" s="22" t="s">
        <v>6</v>
      </c>
      <c r="J222" s="22" t="s">
        <v>24</v>
      </c>
      <c r="K222" s="22" t="s">
        <v>6</v>
      </c>
      <c r="L222" s="22">
        <v>16</v>
      </c>
      <c r="M222" s="22">
        <v>16</v>
      </c>
      <c r="N222" s="22">
        <v>48</v>
      </c>
      <c r="O222" s="22">
        <v>122</v>
      </c>
      <c r="P222" s="23">
        <v>2</v>
      </c>
      <c r="Q222" s="22">
        <v>14</v>
      </c>
      <c r="R222" s="22">
        <v>14</v>
      </c>
      <c r="S222" s="22" t="s">
        <v>6</v>
      </c>
      <c r="T222" s="23">
        <v>1</v>
      </c>
      <c r="U222" s="22">
        <v>16</v>
      </c>
      <c r="V222" s="22">
        <v>16</v>
      </c>
      <c r="W222" s="22" t="s">
        <v>6</v>
      </c>
      <c r="X222" s="22" t="s">
        <v>205</v>
      </c>
      <c r="Y222" s="22" t="s">
        <v>27</v>
      </c>
      <c r="Z222" s="22" t="s">
        <v>6</v>
      </c>
      <c r="AA222" s="22">
        <f>0/14%</f>
        <v>0</v>
      </c>
      <c r="AB222" s="22" t="s">
        <v>6</v>
      </c>
      <c r="AC222" s="22">
        <f>1/16%</f>
        <v>6.25</v>
      </c>
      <c r="AD222" s="22" t="s">
        <v>6</v>
      </c>
      <c r="AE222" s="22" t="s">
        <v>6</v>
      </c>
      <c r="AF222" s="22" t="s">
        <v>380</v>
      </c>
      <c r="AG222" s="22" t="s">
        <v>381</v>
      </c>
      <c r="AH222" s="30" t="b">
        <v>0</v>
      </c>
      <c r="AI222" s="22" t="s">
        <v>6</v>
      </c>
      <c r="AJ222" s="22" t="s">
        <v>6</v>
      </c>
    </row>
    <row r="223" spans="1:36" x14ac:dyDescent="0.25">
      <c r="A223" s="22" t="s">
        <v>758</v>
      </c>
      <c r="B223" s="22" t="s">
        <v>377</v>
      </c>
      <c r="C223" s="22">
        <v>1</v>
      </c>
      <c r="D223" s="22" t="s">
        <v>161</v>
      </c>
      <c r="E223" s="22" t="s">
        <v>310</v>
      </c>
      <c r="F223" s="22" t="s">
        <v>733</v>
      </c>
      <c r="G223" s="22" t="s">
        <v>6</v>
      </c>
      <c r="H223" s="22" t="s">
        <v>6</v>
      </c>
      <c r="I223" s="22" t="s">
        <v>6</v>
      </c>
      <c r="J223" s="22" t="s">
        <v>777</v>
      </c>
      <c r="K223" s="22">
        <v>1</v>
      </c>
      <c r="L223" s="22">
        <v>16</v>
      </c>
      <c r="M223" s="22">
        <v>16</v>
      </c>
      <c r="N223" s="22">
        <v>48</v>
      </c>
      <c r="O223" s="22">
        <v>123</v>
      </c>
      <c r="P223" s="23">
        <v>1</v>
      </c>
      <c r="Q223" s="22">
        <v>14</v>
      </c>
      <c r="R223" s="22">
        <v>14</v>
      </c>
      <c r="S223" s="22" t="s">
        <v>6</v>
      </c>
      <c r="T223" s="23">
        <v>1</v>
      </c>
      <c r="U223" s="22">
        <v>15</v>
      </c>
      <c r="V223" s="22">
        <v>15</v>
      </c>
      <c r="W223" s="22" t="s">
        <v>6</v>
      </c>
      <c r="X223" s="22" t="s">
        <v>198</v>
      </c>
      <c r="Y223" s="22" t="s">
        <v>27</v>
      </c>
      <c r="Z223" s="22" t="s">
        <v>6</v>
      </c>
      <c r="AA223" s="22">
        <f>8/14%</f>
        <v>57.142857142857139</v>
      </c>
      <c r="AB223" s="22" t="s">
        <v>6</v>
      </c>
      <c r="AC223" s="22">
        <f>13/15%</f>
        <v>86.666666666666671</v>
      </c>
      <c r="AD223" s="22" t="s">
        <v>6</v>
      </c>
      <c r="AE223" s="22" t="s">
        <v>6</v>
      </c>
      <c r="AF223" s="22" t="s">
        <v>420</v>
      </c>
      <c r="AG223" s="22" t="s">
        <v>381</v>
      </c>
      <c r="AH223" s="30" t="b">
        <v>0</v>
      </c>
      <c r="AI223" s="22" t="s">
        <v>6</v>
      </c>
      <c r="AJ223" s="22" t="s">
        <v>382</v>
      </c>
    </row>
    <row r="224" spans="1:36" x14ac:dyDescent="0.25">
      <c r="A224" s="22" t="s">
        <v>758</v>
      </c>
      <c r="B224" s="22" t="s">
        <v>377</v>
      </c>
      <c r="C224" s="22">
        <v>1</v>
      </c>
      <c r="D224" s="22" t="s">
        <v>161</v>
      </c>
      <c r="E224" s="22" t="s">
        <v>379</v>
      </c>
      <c r="F224" s="22" t="s">
        <v>734</v>
      </c>
      <c r="G224" s="22" t="s">
        <v>6</v>
      </c>
      <c r="H224" s="22" t="s">
        <v>6</v>
      </c>
      <c r="I224" s="22" t="s">
        <v>6</v>
      </c>
      <c r="J224" s="22" t="s">
        <v>777</v>
      </c>
      <c r="K224" s="22">
        <v>1</v>
      </c>
      <c r="L224" s="22">
        <v>16</v>
      </c>
      <c r="M224" s="22">
        <v>16</v>
      </c>
      <c r="N224" s="22">
        <v>48</v>
      </c>
      <c r="O224" s="22">
        <v>123</v>
      </c>
      <c r="P224" s="23">
        <v>2</v>
      </c>
      <c r="Q224" s="22">
        <v>14</v>
      </c>
      <c r="R224" s="22">
        <v>14</v>
      </c>
      <c r="S224" s="22" t="s">
        <v>6</v>
      </c>
      <c r="T224" s="23">
        <v>1</v>
      </c>
      <c r="U224" s="22">
        <v>15</v>
      </c>
      <c r="V224" s="22">
        <v>15</v>
      </c>
      <c r="W224" s="22" t="s">
        <v>6</v>
      </c>
      <c r="X224" s="22" t="s">
        <v>198</v>
      </c>
      <c r="Y224" s="22" t="s">
        <v>27</v>
      </c>
      <c r="Z224" s="22" t="s">
        <v>6</v>
      </c>
      <c r="AA224" s="22">
        <f>7/14%</f>
        <v>49.999999999999993</v>
      </c>
      <c r="AB224" s="22" t="s">
        <v>6</v>
      </c>
      <c r="AC224" s="22">
        <f>13/15%</f>
        <v>86.666666666666671</v>
      </c>
      <c r="AD224" s="22" t="s">
        <v>6</v>
      </c>
      <c r="AE224" s="22" t="s">
        <v>6</v>
      </c>
      <c r="AF224" s="22" t="s">
        <v>420</v>
      </c>
      <c r="AG224" s="22" t="s">
        <v>381</v>
      </c>
      <c r="AH224" s="30" t="b">
        <v>0</v>
      </c>
      <c r="AI224" s="22" t="s">
        <v>6</v>
      </c>
      <c r="AJ224" s="22" t="s">
        <v>382</v>
      </c>
    </row>
    <row r="225" spans="1:36" x14ac:dyDescent="0.25">
      <c r="A225" s="22" t="s">
        <v>758</v>
      </c>
      <c r="B225" s="22" t="s">
        <v>377</v>
      </c>
      <c r="C225" s="22">
        <v>1</v>
      </c>
      <c r="D225" s="22" t="s">
        <v>161</v>
      </c>
      <c r="E225" s="22" t="s">
        <v>310</v>
      </c>
      <c r="F225" s="22" t="s">
        <v>733</v>
      </c>
      <c r="G225" s="22" t="s">
        <v>6</v>
      </c>
      <c r="H225" s="22" t="s">
        <v>6</v>
      </c>
      <c r="I225" s="22" t="s">
        <v>6</v>
      </c>
      <c r="J225" s="22" t="s">
        <v>773</v>
      </c>
      <c r="K225" s="22">
        <v>1</v>
      </c>
      <c r="L225" s="22">
        <v>16</v>
      </c>
      <c r="M225" s="22">
        <v>16</v>
      </c>
      <c r="N225" s="22">
        <v>48</v>
      </c>
      <c r="O225" s="22">
        <v>124</v>
      </c>
      <c r="P225" s="23">
        <v>1</v>
      </c>
      <c r="Q225" s="22">
        <v>8</v>
      </c>
      <c r="R225" s="22">
        <v>8</v>
      </c>
      <c r="S225" s="22">
        <v>8</v>
      </c>
      <c r="T225" s="23">
        <v>1</v>
      </c>
      <c r="U225" s="22">
        <v>13</v>
      </c>
      <c r="V225" s="22">
        <v>13</v>
      </c>
      <c r="W225" s="22">
        <v>13</v>
      </c>
      <c r="X225" s="22" t="s">
        <v>201</v>
      </c>
      <c r="Y225" s="22" t="s">
        <v>383</v>
      </c>
      <c r="Z225" s="22" t="s">
        <v>133</v>
      </c>
      <c r="AA225" s="22">
        <v>3404.23828</v>
      </c>
      <c r="AB225" s="22">
        <v>9302.5033399999993</v>
      </c>
      <c r="AC225" s="22">
        <v>28.983329999999999</v>
      </c>
      <c r="AD225" s="22">
        <v>59.502389999999998</v>
      </c>
      <c r="AE225" s="22" t="s">
        <v>6</v>
      </c>
      <c r="AF225" s="22" t="s">
        <v>420</v>
      </c>
      <c r="AG225" s="22" t="s">
        <v>381</v>
      </c>
      <c r="AH225" s="30" t="b">
        <v>0</v>
      </c>
      <c r="AI225" s="22" t="s">
        <v>6</v>
      </c>
      <c r="AJ225" s="22" t="s">
        <v>384</v>
      </c>
    </row>
    <row r="226" spans="1:36" x14ac:dyDescent="0.25">
      <c r="A226" s="22" t="s">
        <v>758</v>
      </c>
      <c r="B226" s="22" t="s">
        <v>377</v>
      </c>
      <c r="C226" s="22">
        <v>1</v>
      </c>
      <c r="D226" s="22" t="s">
        <v>161</v>
      </c>
      <c r="E226" s="22" t="s">
        <v>379</v>
      </c>
      <c r="F226" s="22" t="s">
        <v>734</v>
      </c>
      <c r="G226" s="22" t="s">
        <v>6</v>
      </c>
      <c r="H226" s="22" t="s">
        <v>6</v>
      </c>
      <c r="I226" s="22" t="s">
        <v>6</v>
      </c>
      <c r="J226" s="22" t="s">
        <v>773</v>
      </c>
      <c r="K226" s="22">
        <v>1</v>
      </c>
      <c r="L226" s="22">
        <v>16</v>
      </c>
      <c r="M226" s="22">
        <v>16</v>
      </c>
      <c r="N226" s="22">
        <v>48</v>
      </c>
      <c r="O226" s="22">
        <v>124</v>
      </c>
      <c r="P226" s="23">
        <v>2</v>
      </c>
      <c r="Q226" s="22">
        <v>7</v>
      </c>
      <c r="R226" s="22">
        <v>7</v>
      </c>
      <c r="S226" s="22">
        <v>7</v>
      </c>
      <c r="T226" s="23">
        <v>1</v>
      </c>
      <c r="U226" s="22">
        <v>13</v>
      </c>
      <c r="V226" s="22">
        <v>13</v>
      </c>
      <c r="W226" s="22">
        <v>13</v>
      </c>
      <c r="X226" s="22" t="s">
        <v>201</v>
      </c>
      <c r="Y226" s="22" t="s">
        <v>383</v>
      </c>
      <c r="Z226" s="22" t="s">
        <v>133</v>
      </c>
      <c r="AA226" s="22">
        <v>1377.7891099999999</v>
      </c>
      <c r="AB226" s="22">
        <v>3558.4218300000002</v>
      </c>
      <c r="AC226" s="22">
        <v>28.983329999999999</v>
      </c>
      <c r="AD226" s="22">
        <v>59.502389999999998</v>
      </c>
      <c r="AE226" s="22" t="s">
        <v>6</v>
      </c>
      <c r="AF226" s="22" t="s">
        <v>420</v>
      </c>
      <c r="AG226" s="22" t="s">
        <v>381</v>
      </c>
      <c r="AH226" s="30" t="b">
        <v>0</v>
      </c>
      <c r="AI226" s="22" t="s">
        <v>6</v>
      </c>
      <c r="AJ226" s="22" t="s">
        <v>384</v>
      </c>
    </row>
    <row r="227" spans="1:36" x14ac:dyDescent="0.25">
      <c r="A227" s="22" t="s">
        <v>758</v>
      </c>
      <c r="B227" s="22" t="s">
        <v>377</v>
      </c>
      <c r="C227" s="22">
        <v>2</v>
      </c>
      <c r="D227" s="22" t="s">
        <v>161</v>
      </c>
      <c r="E227" s="22" t="s">
        <v>310</v>
      </c>
      <c r="F227" s="22" t="s">
        <v>734</v>
      </c>
      <c r="G227" s="22" t="s">
        <v>6</v>
      </c>
      <c r="H227" s="22" t="s">
        <v>6</v>
      </c>
      <c r="I227" s="22" t="s">
        <v>6</v>
      </c>
      <c r="J227" s="22" t="s">
        <v>24</v>
      </c>
      <c r="K227" s="22" t="s">
        <v>6</v>
      </c>
      <c r="L227" s="22">
        <v>16</v>
      </c>
      <c r="M227" s="22">
        <v>16</v>
      </c>
      <c r="N227" s="22">
        <v>49</v>
      </c>
      <c r="O227" s="22">
        <v>125</v>
      </c>
      <c r="P227" s="23">
        <v>1</v>
      </c>
      <c r="Q227" s="22">
        <v>15</v>
      </c>
      <c r="R227" s="22">
        <v>15</v>
      </c>
      <c r="S227" s="22" t="s">
        <v>6</v>
      </c>
      <c r="T227" s="23">
        <v>1</v>
      </c>
      <c r="U227" s="22">
        <v>16</v>
      </c>
      <c r="V227" s="22">
        <v>16</v>
      </c>
      <c r="W227" s="22" t="s">
        <v>6</v>
      </c>
      <c r="X227" s="22" t="s">
        <v>205</v>
      </c>
      <c r="Y227" s="22" t="s">
        <v>27</v>
      </c>
      <c r="Z227" s="22" t="s">
        <v>6</v>
      </c>
      <c r="AA227" s="22">
        <f>0/15%</f>
        <v>0</v>
      </c>
      <c r="AB227" s="22" t="s">
        <v>6</v>
      </c>
      <c r="AC227" s="22">
        <f>2/16%</f>
        <v>12.5</v>
      </c>
      <c r="AD227" s="22" t="s">
        <v>6</v>
      </c>
      <c r="AE227" s="22" t="s">
        <v>6</v>
      </c>
      <c r="AF227" s="22" t="s">
        <v>380</v>
      </c>
      <c r="AG227" s="22" t="s">
        <v>381</v>
      </c>
      <c r="AH227" s="30" t="b">
        <v>0</v>
      </c>
      <c r="AI227" s="22" t="s">
        <v>6</v>
      </c>
      <c r="AJ227" s="22" t="s">
        <v>6</v>
      </c>
    </row>
    <row r="228" spans="1:36" x14ac:dyDescent="0.25">
      <c r="A228" s="22" t="s">
        <v>758</v>
      </c>
      <c r="B228" s="22" t="s">
        <v>377</v>
      </c>
      <c r="C228" s="22">
        <v>2</v>
      </c>
      <c r="D228" s="22" t="s">
        <v>161</v>
      </c>
      <c r="E228" s="22" t="s">
        <v>379</v>
      </c>
      <c r="F228" s="22" t="s">
        <v>733</v>
      </c>
      <c r="G228" s="22" t="s">
        <v>6</v>
      </c>
      <c r="H228" s="22" t="s">
        <v>6</v>
      </c>
      <c r="I228" s="22" t="s">
        <v>6</v>
      </c>
      <c r="J228" s="22" t="s">
        <v>24</v>
      </c>
      <c r="K228" s="22" t="s">
        <v>6</v>
      </c>
      <c r="L228" s="22">
        <v>16</v>
      </c>
      <c r="M228" s="22">
        <v>16</v>
      </c>
      <c r="N228" s="22">
        <v>49</v>
      </c>
      <c r="O228" s="22">
        <v>125</v>
      </c>
      <c r="P228" s="23">
        <v>2</v>
      </c>
      <c r="Q228" s="22">
        <v>14</v>
      </c>
      <c r="R228" s="22">
        <v>14</v>
      </c>
      <c r="S228" s="22" t="s">
        <v>6</v>
      </c>
      <c r="T228" s="23">
        <v>1</v>
      </c>
      <c r="U228" s="22">
        <v>16</v>
      </c>
      <c r="V228" s="22">
        <v>16</v>
      </c>
      <c r="W228" s="22" t="s">
        <v>6</v>
      </c>
      <c r="X228" s="22" t="s">
        <v>205</v>
      </c>
      <c r="Y228" s="22" t="s">
        <v>27</v>
      </c>
      <c r="Z228" s="22" t="s">
        <v>6</v>
      </c>
      <c r="AA228" s="22">
        <f>2/14%</f>
        <v>14.285714285714285</v>
      </c>
      <c r="AB228" s="22" t="s">
        <v>6</v>
      </c>
      <c r="AC228" s="22">
        <f>2/16%</f>
        <v>12.5</v>
      </c>
      <c r="AD228" s="22" t="s">
        <v>6</v>
      </c>
      <c r="AE228" s="22" t="s">
        <v>6</v>
      </c>
      <c r="AF228" s="22" t="s">
        <v>380</v>
      </c>
      <c r="AG228" s="22" t="s">
        <v>381</v>
      </c>
      <c r="AH228" s="30" t="b">
        <v>0</v>
      </c>
      <c r="AI228" s="22" t="s">
        <v>6</v>
      </c>
      <c r="AJ228" s="22" t="s">
        <v>6</v>
      </c>
    </row>
    <row r="229" spans="1:36" x14ac:dyDescent="0.25">
      <c r="A229" s="22" t="s">
        <v>758</v>
      </c>
      <c r="B229" s="22" t="s">
        <v>377</v>
      </c>
      <c r="C229" s="22">
        <v>2</v>
      </c>
      <c r="D229" s="22" t="s">
        <v>161</v>
      </c>
      <c r="E229" s="22" t="s">
        <v>310</v>
      </c>
      <c r="F229" s="22" t="s">
        <v>734</v>
      </c>
      <c r="G229" s="22" t="s">
        <v>6</v>
      </c>
      <c r="H229" s="22" t="s">
        <v>6</v>
      </c>
      <c r="I229" s="22" t="s">
        <v>6</v>
      </c>
      <c r="J229" s="22" t="s">
        <v>777</v>
      </c>
      <c r="K229" s="22">
        <v>1</v>
      </c>
      <c r="L229" s="22">
        <v>16</v>
      </c>
      <c r="M229" s="22">
        <v>16</v>
      </c>
      <c r="N229" s="22">
        <v>49</v>
      </c>
      <c r="O229" s="22">
        <v>126</v>
      </c>
      <c r="P229" s="23">
        <v>1</v>
      </c>
      <c r="Q229" s="22">
        <v>15</v>
      </c>
      <c r="R229" s="22">
        <v>15</v>
      </c>
      <c r="S229" s="22" t="s">
        <v>6</v>
      </c>
      <c r="T229" s="23">
        <v>1</v>
      </c>
      <c r="U229" s="22">
        <v>14</v>
      </c>
      <c r="V229" s="22">
        <v>14</v>
      </c>
      <c r="W229" s="22" t="s">
        <v>6</v>
      </c>
      <c r="X229" s="22" t="s">
        <v>198</v>
      </c>
      <c r="Y229" s="22" t="s">
        <v>27</v>
      </c>
      <c r="Z229" s="22" t="s">
        <v>6</v>
      </c>
      <c r="AA229" s="22">
        <f>8/15%</f>
        <v>53.333333333333336</v>
      </c>
      <c r="AB229" s="22" t="s">
        <v>6</v>
      </c>
      <c r="AC229" s="22">
        <f>9/14%</f>
        <v>64.285714285714278</v>
      </c>
      <c r="AD229" s="22" t="s">
        <v>6</v>
      </c>
      <c r="AE229" s="22" t="s">
        <v>6</v>
      </c>
      <c r="AF229" s="22" t="s">
        <v>420</v>
      </c>
      <c r="AG229" s="22" t="s">
        <v>381</v>
      </c>
      <c r="AH229" s="30" t="b">
        <v>0</v>
      </c>
      <c r="AI229" s="22" t="s">
        <v>6</v>
      </c>
      <c r="AJ229" s="22" t="s">
        <v>382</v>
      </c>
    </row>
    <row r="230" spans="1:36" x14ac:dyDescent="0.25">
      <c r="A230" s="22" t="s">
        <v>758</v>
      </c>
      <c r="B230" s="22" t="s">
        <v>377</v>
      </c>
      <c r="C230" s="22">
        <v>2</v>
      </c>
      <c r="D230" s="22" t="s">
        <v>161</v>
      </c>
      <c r="E230" s="22" t="s">
        <v>379</v>
      </c>
      <c r="F230" s="22" t="s">
        <v>733</v>
      </c>
      <c r="G230" s="22" t="s">
        <v>6</v>
      </c>
      <c r="H230" s="22" t="s">
        <v>6</v>
      </c>
      <c r="I230" s="22" t="s">
        <v>6</v>
      </c>
      <c r="J230" s="22" t="s">
        <v>777</v>
      </c>
      <c r="K230" s="22">
        <v>1</v>
      </c>
      <c r="L230" s="22">
        <v>16</v>
      </c>
      <c r="M230" s="22">
        <v>16</v>
      </c>
      <c r="N230" s="22">
        <v>49</v>
      </c>
      <c r="O230" s="22">
        <v>126</v>
      </c>
      <c r="P230" s="23">
        <v>2</v>
      </c>
      <c r="Q230" s="22">
        <v>12</v>
      </c>
      <c r="R230" s="22">
        <v>12</v>
      </c>
      <c r="S230" s="22" t="s">
        <v>6</v>
      </c>
      <c r="T230" s="23">
        <v>1</v>
      </c>
      <c r="U230" s="22">
        <v>14</v>
      </c>
      <c r="V230" s="22">
        <v>14</v>
      </c>
      <c r="W230" s="22" t="s">
        <v>6</v>
      </c>
      <c r="X230" s="22" t="s">
        <v>198</v>
      </c>
      <c r="Y230" s="22" t="s">
        <v>27</v>
      </c>
      <c r="Z230" s="22" t="s">
        <v>6</v>
      </c>
      <c r="AA230" s="22">
        <f>10/12%</f>
        <v>83.333333333333343</v>
      </c>
      <c r="AB230" s="22" t="s">
        <v>6</v>
      </c>
      <c r="AC230" s="22">
        <f>9/14%</f>
        <v>64.285714285714278</v>
      </c>
      <c r="AD230" s="22" t="s">
        <v>6</v>
      </c>
      <c r="AE230" s="22" t="s">
        <v>6</v>
      </c>
      <c r="AF230" s="22" t="s">
        <v>420</v>
      </c>
      <c r="AG230" s="22" t="s">
        <v>381</v>
      </c>
      <c r="AH230" s="30" t="b">
        <v>0</v>
      </c>
      <c r="AI230" s="22" t="s">
        <v>6</v>
      </c>
      <c r="AJ230" s="22" t="s">
        <v>382</v>
      </c>
    </row>
    <row r="231" spans="1:36" x14ac:dyDescent="0.25">
      <c r="A231" s="22" t="s">
        <v>758</v>
      </c>
      <c r="B231" s="22" t="s">
        <v>377</v>
      </c>
      <c r="C231" s="22">
        <v>2</v>
      </c>
      <c r="D231" s="22" t="s">
        <v>161</v>
      </c>
      <c r="E231" s="22" t="s">
        <v>310</v>
      </c>
      <c r="F231" s="22" t="s">
        <v>734</v>
      </c>
      <c r="G231" s="22" t="s">
        <v>6</v>
      </c>
      <c r="H231" s="22" t="s">
        <v>6</v>
      </c>
      <c r="I231" s="22" t="s">
        <v>6</v>
      </c>
      <c r="J231" s="22" t="s">
        <v>773</v>
      </c>
      <c r="K231" s="22">
        <v>1</v>
      </c>
      <c r="L231" s="22">
        <v>16</v>
      </c>
      <c r="M231" s="22">
        <v>16</v>
      </c>
      <c r="N231" s="22">
        <v>49</v>
      </c>
      <c r="O231" s="22">
        <v>127</v>
      </c>
      <c r="P231" s="23">
        <v>1</v>
      </c>
      <c r="Q231" s="22">
        <v>8</v>
      </c>
      <c r="R231" s="22">
        <v>8</v>
      </c>
      <c r="S231" s="22">
        <v>8</v>
      </c>
      <c r="T231" s="23">
        <v>1</v>
      </c>
      <c r="U231" s="22">
        <v>9</v>
      </c>
      <c r="V231" s="22">
        <v>9</v>
      </c>
      <c r="W231" s="22">
        <v>9</v>
      </c>
      <c r="X231" s="22" t="s">
        <v>201</v>
      </c>
      <c r="Y231" s="22" t="s">
        <v>383</v>
      </c>
      <c r="Z231" s="22" t="s">
        <v>133</v>
      </c>
      <c r="AA231" s="22">
        <v>68.994069999999994</v>
      </c>
      <c r="AB231" s="22">
        <v>80.048649999999995</v>
      </c>
      <c r="AC231" s="22">
        <v>400.84158000000002</v>
      </c>
      <c r="AD231" s="22">
        <v>894.53350999999998</v>
      </c>
      <c r="AE231" s="22" t="s">
        <v>6</v>
      </c>
      <c r="AF231" s="22" t="s">
        <v>420</v>
      </c>
      <c r="AG231" s="22" t="s">
        <v>381</v>
      </c>
      <c r="AH231" s="30" t="b">
        <v>0</v>
      </c>
      <c r="AI231" s="22" t="s">
        <v>6</v>
      </c>
      <c r="AJ231" s="22" t="s">
        <v>384</v>
      </c>
    </row>
    <row r="232" spans="1:36" x14ac:dyDescent="0.25">
      <c r="A232" s="22" t="s">
        <v>758</v>
      </c>
      <c r="B232" s="22" t="s">
        <v>377</v>
      </c>
      <c r="C232" s="22">
        <v>2</v>
      </c>
      <c r="D232" s="22" t="s">
        <v>161</v>
      </c>
      <c r="E232" s="22" t="s">
        <v>379</v>
      </c>
      <c r="F232" s="22" t="s">
        <v>733</v>
      </c>
      <c r="G232" s="22" t="s">
        <v>6</v>
      </c>
      <c r="H232" s="22" t="s">
        <v>6</v>
      </c>
      <c r="I232" s="22" t="s">
        <v>6</v>
      </c>
      <c r="J232" s="22" t="s">
        <v>773</v>
      </c>
      <c r="K232" s="22">
        <v>1</v>
      </c>
      <c r="L232" s="22">
        <v>16</v>
      </c>
      <c r="M232" s="22">
        <v>16</v>
      </c>
      <c r="N232" s="22">
        <v>49</v>
      </c>
      <c r="O232" s="22">
        <v>127</v>
      </c>
      <c r="P232" s="23">
        <v>2</v>
      </c>
      <c r="Q232" s="22">
        <v>10</v>
      </c>
      <c r="R232" s="22">
        <v>10</v>
      </c>
      <c r="S232" s="22">
        <v>10</v>
      </c>
      <c r="T232" s="23">
        <v>1</v>
      </c>
      <c r="U232" s="22">
        <v>9</v>
      </c>
      <c r="V232" s="22">
        <v>9</v>
      </c>
      <c r="W232" s="22">
        <v>9</v>
      </c>
      <c r="X232" s="22" t="s">
        <v>201</v>
      </c>
      <c r="Y232" s="22" t="s">
        <v>383</v>
      </c>
      <c r="Z232" s="22" t="s">
        <v>133</v>
      </c>
      <c r="AA232" s="22">
        <v>11171.18958</v>
      </c>
      <c r="AB232" s="22">
        <v>26331.128100000002</v>
      </c>
      <c r="AC232" s="22">
        <v>400.84158000000002</v>
      </c>
      <c r="AD232" s="22">
        <v>894.53350999999998</v>
      </c>
      <c r="AE232" s="22" t="s">
        <v>6</v>
      </c>
      <c r="AF232" s="22" t="s">
        <v>420</v>
      </c>
      <c r="AG232" s="22" t="s">
        <v>381</v>
      </c>
      <c r="AH232" s="30" t="b">
        <v>0</v>
      </c>
      <c r="AI232" s="22" t="s">
        <v>6</v>
      </c>
      <c r="AJ232" s="22" t="s">
        <v>384</v>
      </c>
    </row>
    <row r="233" spans="1:36" x14ac:dyDescent="0.25">
      <c r="A233" s="22" t="s">
        <v>758</v>
      </c>
      <c r="B233" s="22" t="s">
        <v>385</v>
      </c>
      <c r="C233" s="22">
        <v>1</v>
      </c>
      <c r="D233" s="22" t="s">
        <v>614</v>
      </c>
      <c r="E233" s="22" t="s">
        <v>379</v>
      </c>
      <c r="F233" s="22" t="s">
        <v>733</v>
      </c>
      <c r="G233" s="22" t="s">
        <v>6</v>
      </c>
      <c r="H233" s="22" t="s">
        <v>6</v>
      </c>
      <c r="I233" s="22" t="s">
        <v>617</v>
      </c>
      <c r="J233" s="22" t="s">
        <v>24</v>
      </c>
      <c r="K233" s="22" t="s">
        <v>6</v>
      </c>
      <c r="L233" s="22">
        <v>14</v>
      </c>
      <c r="M233" s="22">
        <v>14</v>
      </c>
      <c r="N233" s="22">
        <v>50</v>
      </c>
      <c r="O233" s="22">
        <v>128</v>
      </c>
      <c r="P233" s="23">
        <v>1</v>
      </c>
      <c r="Q233" s="22">
        <v>15</v>
      </c>
      <c r="R233" s="22">
        <v>15</v>
      </c>
      <c r="S233" s="22" t="s">
        <v>6</v>
      </c>
      <c r="T233" s="23">
        <v>1</v>
      </c>
      <c r="U233" s="22">
        <v>15</v>
      </c>
      <c r="V233" s="22">
        <v>15</v>
      </c>
      <c r="W233" s="22" t="s">
        <v>6</v>
      </c>
      <c r="X233" s="22" t="s">
        <v>205</v>
      </c>
      <c r="Y233" s="22" t="s">
        <v>27</v>
      </c>
      <c r="Z233" s="22" t="s">
        <v>6</v>
      </c>
      <c r="AA233" s="22">
        <v>6</v>
      </c>
      <c r="AB233" s="22" t="s">
        <v>6</v>
      </c>
      <c r="AC233" s="22">
        <v>13</v>
      </c>
      <c r="AD233" s="22" t="s">
        <v>6</v>
      </c>
      <c r="AE233" s="22" t="s">
        <v>6</v>
      </c>
      <c r="AF233" s="22" t="s">
        <v>280</v>
      </c>
      <c r="AG233" s="22" t="s">
        <v>6</v>
      </c>
      <c r="AH233" s="30" t="b">
        <v>0</v>
      </c>
      <c r="AI233" s="22" t="s">
        <v>6</v>
      </c>
      <c r="AJ233" s="22" t="s">
        <v>6</v>
      </c>
    </row>
    <row r="234" spans="1:36" x14ac:dyDescent="0.25">
      <c r="A234" s="22" t="s">
        <v>758</v>
      </c>
      <c r="B234" s="22" t="s">
        <v>385</v>
      </c>
      <c r="C234" s="22">
        <v>1</v>
      </c>
      <c r="D234" s="22" t="s">
        <v>614</v>
      </c>
      <c r="E234" s="22" t="s">
        <v>379</v>
      </c>
      <c r="F234" s="22" t="s">
        <v>733</v>
      </c>
      <c r="G234" s="22" t="s">
        <v>6</v>
      </c>
      <c r="H234" s="22" t="s">
        <v>6</v>
      </c>
      <c r="I234" s="22" t="s">
        <v>617</v>
      </c>
      <c r="J234" s="22" t="s">
        <v>777</v>
      </c>
      <c r="K234" s="22">
        <v>1</v>
      </c>
      <c r="L234" s="22">
        <v>14</v>
      </c>
      <c r="M234" s="22">
        <v>14</v>
      </c>
      <c r="N234" s="22">
        <v>50</v>
      </c>
      <c r="O234" s="22">
        <v>129</v>
      </c>
      <c r="P234" s="23">
        <v>1</v>
      </c>
      <c r="Q234" s="22">
        <f>15*0.94</f>
        <v>14.1</v>
      </c>
      <c r="R234" s="22">
        <f>15*0.94</f>
        <v>14.1</v>
      </c>
      <c r="S234" s="22" t="s">
        <v>6</v>
      </c>
      <c r="T234" s="23">
        <v>1</v>
      </c>
      <c r="U234" s="22">
        <f>15*0.87</f>
        <v>13.05</v>
      </c>
      <c r="V234" s="22">
        <f>15*0.87</f>
        <v>13.05</v>
      </c>
      <c r="W234" s="22" t="s">
        <v>6</v>
      </c>
      <c r="X234" s="22" t="s">
        <v>198</v>
      </c>
      <c r="Y234" s="22" t="s">
        <v>27</v>
      </c>
      <c r="Z234" s="22" t="s">
        <v>6</v>
      </c>
      <c r="AA234" s="22">
        <v>75</v>
      </c>
      <c r="AB234" s="22" t="s">
        <v>6</v>
      </c>
      <c r="AC234" s="22">
        <v>60</v>
      </c>
      <c r="AD234" s="22" t="s">
        <v>6</v>
      </c>
      <c r="AE234" s="22" t="s">
        <v>6</v>
      </c>
      <c r="AF234" s="22" t="s">
        <v>280</v>
      </c>
      <c r="AG234" s="22" t="s">
        <v>6</v>
      </c>
      <c r="AH234" s="30" t="b">
        <v>0</v>
      </c>
      <c r="AI234" s="22" t="s">
        <v>6</v>
      </c>
      <c r="AJ234" s="22" t="s">
        <v>675</v>
      </c>
    </row>
    <row r="235" spans="1:36" x14ac:dyDescent="0.25">
      <c r="A235" s="22" t="s">
        <v>758</v>
      </c>
      <c r="B235" s="22" t="s">
        <v>385</v>
      </c>
      <c r="C235" s="22">
        <v>1</v>
      </c>
      <c r="D235" s="22" t="s">
        <v>614</v>
      </c>
      <c r="E235" s="22" t="s">
        <v>379</v>
      </c>
      <c r="F235" s="22" t="s">
        <v>733</v>
      </c>
      <c r="G235" s="22" t="s">
        <v>6</v>
      </c>
      <c r="H235" s="22" t="s">
        <v>6</v>
      </c>
      <c r="I235" s="22" t="s">
        <v>617</v>
      </c>
      <c r="J235" s="22" t="s">
        <v>773</v>
      </c>
      <c r="K235" s="22">
        <v>1</v>
      </c>
      <c r="L235" s="22">
        <v>14</v>
      </c>
      <c r="M235" s="22">
        <v>14</v>
      </c>
      <c r="N235" s="22">
        <v>50</v>
      </c>
      <c r="O235" s="22">
        <v>130</v>
      </c>
      <c r="P235" s="23">
        <v>1</v>
      </c>
      <c r="Q235" s="22">
        <f>15*0.94*75%</f>
        <v>10.574999999999999</v>
      </c>
      <c r="R235" s="22">
        <f>15*0.94*75%</f>
        <v>10.574999999999999</v>
      </c>
      <c r="S235" s="22">
        <f>15*0.94*75%</f>
        <v>10.574999999999999</v>
      </c>
      <c r="T235" s="23">
        <v>1</v>
      </c>
      <c r="U235" s="22">
        <f>15*0.87*0.6</f>
        <v>7.83</v>
      </c>
      <c r="V235" s="22">
        <f>15*0.87*0.6</f>
        <v>7.83</v>
      </c>
      <c r="W235" s="22">
        <f>15*0.87*0.6</f>
        <v>7.83</v>
      </c>
      <c r="X235" s="22" t="s">
        <v>386</v>
      </c>
      <c r="Y235" s="22" t="s">
        <v>327</v>
      </c>
      <c r="Z235" s="22" t="s">
        <v>133</v>
      </c>
      <c r="AA235" s="22">
        <v>1885.2739726027401</v>
      </c>
      <c r="AB235" s="22">
        <v>1114.3740650169</v>
      </c>
      <c r="AC235" s="22">
        <v>3205.4794520547998</v>
      </c>
      <c r="AD235" s="22">
        <v>1148.6266071937</v>
      </c>
      <c r="AE235" s="22" t="s">
        <v>6</v>
      </c>
      <c r="AF235" s="22" t="s">
        <v>267</v>
      </c>
      <c r="AG235" s="22" t="s">
        <v>6</v>
      </c>
      <c r="AH235" s="30" t="b">
        <v>0</v>
      </c>
      <c r="AI235" s="22" t="s">
        <v>6</v>
      </c>
      <c r="AJ235" s="22" t="s">
        <v>676</v>
      </c>
    </row>
    <row r="236" spans="1:36" x14ac:dyDescent="0.25">
      <c r="A236" s="22" t="s">
        <v>758</v>
      </c>
      <c r="B236" s="22" t="s">
        <v>387</v>
      </c>
      <c r="C236" s="22">
        <v>1</v>
      </c>
      <c r="D236" s="22" t="s">
        <v>163</v>
      </c>
      <c r="E236" s="22" t="s">
        <v>6</v>
      </c>
      <c r="F236" s="22" t="s">
        <v>6</v>
      </c>
      <c r="G236" s="22" t="s">
        <v>6</v>
      </c>
      <c r="H236" s="22" t="s">
        <v>6</v>
      </c>
      <c r="I236" s="22" t="s">
        <v>389</v>
      </c>
      <c r="J236" s="22" t="s">
        <v>777</v>
      </c>
      <c r="K236" s="22">
        <v>1</v>
      </c>
      <c r="L236" s="22">
        <v>21</v>
      </c>
      <c r="M236" s="22">
        <v>21</v>
      </c>
      <c r="N236" s="22">
        <v>51</v>
      </c>
      <c r="O236" s="22">
        <v>131</v>
      </c>
      <c r="P236" s="23">
        <v>1</v>
      </c>
      <c r="Q236" s="22" t="s">
        <v>6</v>
      </c>
      <c r="R236" s="22">
        <v>9</v>
      </c>
      <c r="S236" s="22" t="s">
        <v>6</v>
      </c>
      <c r="T236" s="23">
        <v>1</v>
      </c>
      <c r="U236" s="22" t="s">
        <v>6</v>
      </c>
      <c r="V236" s="22">
        <v>7</v>
      </c>
      <c r="W236" s="22" t="s">
        <v>6</v>
      </c>
      <c r="X236" s="22" t="s">
        <v>198</v>
      </c>
      <c r="Y236" s="22" t="s">
        <v>27</v>
      </c>
      <c r="Z236" s="22" t="s">
        <v>6</v>
      </c>
      <c r="AA236" s="22">
        <f>6/9%</f>
        <v>66.666666666666671</v>
      </c>
      <c r="AB236" s="22" t="s">
        <v>6</v>
      </c>
      <c r="AC236" s="22">
        <f>3/7%</f>
        <v>42.857142857142854</v>
      </c>
      <c r="AD236" s="22" t="s">
        <v>6</v>
      </c>
      <c r="AE236" s="22" t="s">
        <v>6</v>
      </c>
      <c r="AF236" s="22" t="s">
        <v>390</v>
      </c>
      <c r="AG236" s="22" t="s">
        <v>391</v>
      </c>
      <c r="AH236" s="30" t="b">
        <v>0</v>
      </c>
      <c r="AI236" s="22" t="s">
        <v>6</v>
      </c>
      <c r="AJ236" s="22" t="s">
        <v>392</v>
      </c>
    </row>
    <row r="237" spans="1:36" x14ac:dyDescent="0.25">
      <c r="A237" s="22" t="s">
        <v>758</v>
      </c>
      <c r="B237" s="22" t="s">
        <v>387</v>
      </c>
      <c r="C237" s="22">
        <v>2</v>
      </c>
      <c r="D237" s="22" t="s">
        <v>163</v>
      </c>
      <c r="E237" s="22" t="s">
        <v>6</v>
      </c>
      <c r="F237" s="22" t="s">
        <v>6</v>
      </c>
      <c r="G237" s="22" t="s">
        <v>6</v>
      </c>
      <c r="H237" s="22" t="s">
        <v>6</v>
      </c>
      <c r="I237" s="22" t="s">
        <v>389</v>
      </c>
      <c r="J237" s="22" t="s">
        <v>777</v>
      </c>
      <c r="K237" s="22">
        <v>1</v>
      </c>
      <c r="L237" s="22">
        <v>21</v>
      </c>
      <c r="M237" s="22">
        <v>21</v>
      </c>
      <c r="N237" s="22">
        <v>52</v>
      </c>
      <c r="O237" s="22">
        <v>132</v>
      </c>
      <c r="P237" s="23">
        <v>1</v>
      </c>
      <c r="Q237" s="22" t="s">
        <v>6</v>
      </c>
      <c r="R237" s="22">
        <v>11</v>
      </c>
      <c r="S237" s="22" t="s">
        <v>6</v>
      </c>
      <c r="T237" s="23">
        <v>1</v>
      </c>
      <c r="U237" s="22" t="s">
        <v>6</v>
      </c>
      <c r="V237" s="22">
        <v>9</v>
      </c>
      <c r="W237" s="22" t="s">
        <v>6</v>
      </c>
      <c r="X237" s="22" t="s">
        <v>198</v>
      </c>
      <c r="Y237" s="22" t="s">
        <v>27</v>
      </c>
      <c r="Z237" s="22" t="s">
        <v>6</v>
      </c>
      <c r="AA237" s="22">
        <f>3/11%</f>
        <v>27.272727272727273</v>
      </c>
      <c r="AB237" s="22" t="s">
        <v>6</v>
      </c>
      <c r="AC237" s="22">
        <f>6/9%</f>
        <v>66.666666666666671</v>
      </c>
      <c r="AD237" s="22" t="s">
        <v>6</v>
      </c>
      <c r="AE237" s="22" t="s">
        <v>6</v>
      </c>
      <c r="AF237" s="22" t="s">
        <v>390</v>
      </c>
      <c r="AG237" s="22" t="s">
        <v>391</v>
      </c>
      <c r="AH237" s="30" t="b">
        <v>0</v>
      </c>
      <c r="AI237" s="22" t="s">
        <v>6</v>
      </c>
      <c r="AJ237" s="22" t="s">
        <v>673</v>
      </c>
    </row>
    <row r="238" spans="1:36" x14ac:dyDescent="0.25">
      <c r="A238" s="22" t="s">
        <v>758</v>
      </c>
      <c r="B238" s="22" t="s">
        <v>387</v>
      </c>
      <c r="C238" s="22">
        <v>1</v>
      </c>
      <c r="D238" s="22" t="s">
        <v>163</v>
      </c>
      <c r="E238" s="22" t="s">
        <v>6</v>
      </c>
      <c r="F238" s="22" t="s">
        <v>6</v>
      </c>
      <c r="G238" s="22" t="s">
        <v>6</v>
      </c>
      <c r="H238" s="22" t="s">
        <v>6</v>
      </c>
      <c r="I238" s="22" t="s">
        <v>389</v>
      </c>
      <c r="J238" s="22" t="s">
        <v>773</v>
      </c>
      <c r="K238" s="22">
        <v>1</v>
      </c>
      <c r="L238" s="22">
        <v>21</v>
      </c>
      <c r="M238" s="22">
        <v>21</v>
      </c>
      <c r="N238" s="22">
        <v>51</v>
      </c>
      <c r="O238" s="22">
        <v>133</v>
      </c>
      <c r="P238" s="23">
        <v>1</v>
      </c>
      <c r="Q238" s="22" t="s">
        <v>6</v>
      </c>
      <c r="R238" s="22">
        <v>6</v>
      </c>
      <c r="S238" s="22">
        <v>6</v>
      </c>
      <c r="T238" s="23">
        <v>1</v>
      </c>
      <c r="U238" s="22" t="s">
        <v>6</v>
      </c>
      <c r="V238" s="22">
        <v>3</v>
      </c>
      <c r="W238" s="22">
        <v>3</v>
      </c>
      <c r="X238" s="22" t="s">
        <v>201</v>
      </c>
      <c r="Y238" s="22" t="s">
        <v>327</v>
      </c>
      <c r="Z238" s="22" t="s">
        <v>133</v>
      </c>
      <c r="AA238" s="22">
        <v>5099.9920000000002</v>
      </c>
      <c r="AB238" s="22">
        <v>3941.2530000000002</v>
      </c>
      <c r="AC238" s="22">
        <v>10417.07</v>
      </c>
      <c r="AD238" s="22">
        <v>6608.0110000000004</v>
      </c>
      <c r="AE238" s="22" t="s">
        <v>6</v>
      </c>
      <c r="AF238" s="22" t="s">
        <v>390</v>
      </c>
      <c r="AG238" s="22" t="s">
        <v>391</v>
      </c>
      <c r="AH238" s="30" t="b">
        <v>0</v>
      </c>
      <c r="AI238" s="22" t="s">
        <v>6</v>
      </c>
      <c r="AJ238" s="22" t="s">
        <v>392</v>
      </c>
    </row>
    <row r="239" spans="1:36" x14ac:dyDescent="0.25">
      <c r="A239" s="22" t="s">
        <v>758</v>
      </c>
      <c r="B239" s="22" t="s">
        <v>387</v>
      </c>
      <c r="C239" s="22">
        <v>2</v>
      </c>
      <c r="D239" s="22" t="s">
        <v>163</v>
      </c>
      <c r="E239" s="22" t="s">
        <v>6</v>
      </c>
      <c r="F239" s="22" t="s">
        <v>6</v>
      </c>
      <c r="G239" s="22" t="s">
        <v>6</v>
      </c>
      <c r="H239" s="22" t="s">
        <v>6</v>
      </c>
      <c r="I239" s="22" t="s">
        <v>389</v>
      </c>
      <c r="J239" s="22" t="s">
        <v>773</v>
      </c>
      <c r="K239" s="22">
        <v>1</v>
      </c>
      <c r="L239" s="22">
        <v>21</v>
      </c>
      <c r="M239" s="22">
        <v>21</v>
      </c>
      <c r="N239" s="22">
        <v>52</v>
      </c>
      <c r="O239" s="22">
        <v>134</v>
      </c>
      <c r="P239" s="23">
        <v>1</v>
      </c>
      <c r="Q239" s="22" t="s">
        <v>6</v>
      </c>
      <c r="R239" s="22">
        <v>3</v>
      </c>
      <c r="S239" s="22">
        <v>3</v>
      </c>
      <c r="T239" s="23">
        <v>1</v>
      </c>
      <c r="U239" s="22" t="s">
        <v>6</v>
      </c>
      <c r="V239" s="22">
        <v>6</v>
      </c>
      <c r="W239" s="22">
        <v>6</v>
      </c>
      <c r="X239" s="22" t="s">
        <v>201</v>
      </c>
      <c r="Y239" s="22" t="s">
        <v>327</v>
      </c>
      <c r="Z239" s="22" t="s">
        <v>133</v>
      </c>
      <c r="AA239" s="22">
        <v>4873.567</v>
      </c>
      <c r="AB239" s="22">
        <v>3417.3919999999998</v>
      </c>
      <c r="AC239" s="22">
        <v>10484.627</v>
      </c>
      <c r="AD239" s="22">
        <v>14224.459000000001</v>
      </c>
      <c r="AE239" s="22" t="s">
        <v>6</v>
      </c>
      <c r="AF239" s="22" t="s">
        <v>390</v>
      </c>
      <c r="AG239" s="22" t="s">
        <v>391</v>
      </c>
      <c r="AH239" s="30" t="b">
        <v>0</v>
      </c>
      <c r="AI239" s="22" t="s">
        <v>6</v>
      </c>
      <c r="AJ239" s="22" t="s">
        <v>392</v>
      </c>
    </row>
    <row r="240" spans="1:36" x14ac:dyDescent="0.25">
      <c r="A240" s="22" t="s">
        <v>758</v>
      </c>
      <c r="B240" s="22" t="s">
        <v>387</v>
      </c>
      <c r="C240" s="22">
        <v>3</v>
      </c>
      <c r="D240" s="22" t="s">
        <v>163</v>
      </c>
      <c r="E240" s="22" t="s">
        <v>6</v>
      </c>
      <c r="F240" s="22" t="s">
        <v>6</v>
      </c>
      <c r="G240" s="22" t="s">
        <v>6</v>
      </c>
      <c r="H240" s="22" t="s">
        <v>6</v>
      </c>
      <c r="I240" s="22" t="s">
        <v>389</v>
      </c>
      <c r="J240" s="22" t="s">
        <v>777</v>
      </c>
      <c r="K240" s="22">
        <v>2</v>
      </c>
      <c r="L240" s="22">
        <v>17.5</v>
      </c>
      <c r="M240" s="22">
        <v>17.5</v>
      </c>
      <c r="N240" s="22">
        <v>53</v>
      </c>
      <c r="O240" s="22">
        <v>135</v>
      </c>
      <c r="P240" s="23">
        <v>1</v>
      </c>
      <c r="Q240" s="22">
        <v>3</v>
      </c>
      <c r="R240" s="22">
        <v>3</v>
      </c>
      <c r="S240" s="22" t="s">
        <v>6</v>
      </c>
      <c r="T240" s="23">
        <v>1</v>
      </c>
      <c r="U240" s="22">
        <v>9</v>
      </c>
      <c r="V240" s="22">
        <v>7</v>
      </c>
      <c r="W240" s="22" t="s">
        <v>6</v>
      </c>
      <c r="X240" s="22" t="s">
        <v>393</v>
      </c>
      <c r="Y240" s="22" t="s">
        <v>27</v>
      </c>
      <c r="Z240" s="22" t="s">
        <v>6</v>
      </c>
      <c r="AA240" s="22">
        <f>1/3%</f>
        <v>33.333333333333336</v>
      </c>
      <c r="AB240" s="22" t="s">
        <v>6</v>
      </c>
      <c r="AC240" s="22">
        <f>2/9%</f>
        <v>22.222222222222221</v>
      </c>
      <c r="AD240" s="22" t="s">
        <v>6</v>
      </c>
      <c r="AE240" s="22" t="s">
        <v>6</v>
      </c>
      <c r="AF240" s="22" t="s">
        <v>394</v>
      </c>
      <c r="AG240" s="22" t="s">
        <v>391</v>
      </c>
      <c r="AH240" s="30" t="b">
        <v>0</v>
      </c>
      <c r="AI240" s="22" t="s">
        <v>6</v>
      </c>
      <c r="AJ240" s="22" t="s">
        <v>395</v>
      </c>
    </row>
    <row r="241" spans="1:36" x14ac:dyDescent="0.25">
      <c r="A241" s="22" t="s">
        <v>758</v>
      </c>
      <c r="B241" s="22" t="s">
        <v>387</v>
      </c>
      <c r="C241" s="22">
        <v>4</v>
      </c>
      <c r="D241" s="22" t="s">
        <v>163</v>
      </c>
      <c r="E241" s="22" t="s">
        <v>6</v>
      </c>
      <c r="F241" s="22" t="s">
        <v>6</v>
      </c>
      <c r="G241" s="22" t="s">
        <v>6</v>
      </c>
      <c r="H241" s="22" t="s">
        <v>6</v>
      </c>
      <c r="I241" s="22" t="s">
        <v>389</v>
      </c>
      <c r="J241" s="22" t="s">
        <v>777</v>
      </c>
      <c r="K241" s="22">
        <v>2</v>
      </c>
      <c r="L241" s="22">
        <v>17.5</v>
      </c>
      <c r="M241" s="22">
        <v>17.5</v>
      </c>
      <c r="N241" s="22">
        <v>54</v>
      </c>
      <c r="O241" s="22">
        <v>136</v>
      </c>
      <c r="P241" s="23">
        <v>1</v>
      </c>
      <c r="Q241" s="22">
        <v>4</v>
      </c>
      <c r="R241" s="22">
        <v>3</v>
      </c>
      <c r="S241" s="22" t="s">
        <v>6</v>
      </c>
      <c r="T241" s="23">
        <v>1</v>
      </c>
      <c r="U241" s="22">
        <v>8</v>
      </c>
      <c r="V241" s="22">
        <v>6</v>
      </c>
      <c r="W241" s="22" t="s">
        <v>6</v>
      </c>
      <c r="X241" s="22" t="s">
        <v>393</v>
      </c>
      <c r="Y241" s="22" t="s">
        <v>27</v>
      </c>
      <c r="Z241" s="22" t="s">
        <v>6</v>
      </c>
      <c r="AA241" s="22">
        <f>1/4%</f>
        <v>25</v>
      </c>
      <c r="AB241" s="22" t="s">
        <v>6</v>
      </c>
      <c r="AC241" s="22">
        <f>5/8%</f>
        <v>62.5</v>
      </c>
      <c r="AD241" s="22" t="s">
        <v>6</v>
      </c>
      <c r="AE241" s="22" t="s">
        <v>6</v>
      </c>
      <c r="AF241" s="22" t="s">
        <v>394</v>
      </c>
      <c r="AG241" s="22" t="s">
        <v>391</v>
      </c>
      <c r="AH241" s="30" t="b">
        <v>0</v>
      </c>
      <c r="AI241" s="22" t="s">
        <v>6</v>
      </c>
      <c r="AJ241" s="22" t="s">
        <v>395</v>
      </c>
    </row>
    <row r="242" spans="1:36" x14ac:dyDescent="0.25">
      <c r="A242" s="22" t="s">
        <v>758</v>
      </c>
      <c r="B242" s="22" t="s">
        <v>387</v>
      </c>
      <c r="C242" s="22">
        <v>3</v>
      </c>
      <c r="D242" s="22" t="s">
        <v>163</v>
      </c>
      <c r="E242" s="22" t="s">
        <v>6</v>
      </c>
      <c r="F242" s="22" t="s">
        <v>6</v>
      </c>
      <c r="G242" s="22" t="s">
        <v>6</v>
      </c>
      <c r="H242" s="22" t="s">
        <v>6</v>
      </c>
      <c r="I242" s="22" t="s">
        <v>389</v>
      </c>
      <c r="J242" s="22" t="s">
        <v>773</v>
      </c>
      <c r="K242" s="22">
        <v>2</v>
      </c>
      <c r="L242" s="22">
        <v>17.5</v>
      </c>
      <c r="M242" s="22">
        <v>17.5</v>
      </c>
      <c r="N242" s="22">
        <v>53</v>
      </c>
      <c r="O242" s="22">
        <v>137</v>
      </c>
      <c r="P242" s="23">
        <v>1</v>
      </c>
      <c r="Q242" s="22">
        <v>1</v>
      </c>
      <c r="R242" s="22">
        <v>1</v>
      </c>
      <c r="S242" s="22" t="s">
        <v>6</v>
      </c>
      <c r="T242" s="23">
        <v>1</v>
      </c>
      <c r="U242" s="22">
        <v>2</v>
      </c>
      <c r="V242" s="22">
        <v>2</v>
      </c>
      <c r="W242" s="22">
        <v>2</v>
      </c>
      <c r="X242" s="22" t="s">
        <v>396</v>
      </c>
      <c r="Y242" s="22" t="s">
        <v>327</v>
      </c>
      <c r="Z242" s="22" t="s">
        <v>133</v>
      </c>
      <c r="AA242" s="22">
        <v>153.5137</v>
      </c>
      <c r="AB242" s="22" t="s">
        <v>6</v>
      </c>
      <c r="AC242" s="22">
        <v>9066.3541999999998</v>
      </c>
      <c r="AD242" s="22">
        <v>1333.8040000000001</v>
      </c>
      <c r="AE242" s="22" t="s">
        <v>6</v>
      </c>
      <c r="AF242" s="22" t="s">
        <v>394</v>
      </c>
      <c r="AG242" s="22" t="s">
        <v>391</v>
      </c>
      <c r="AH242" s="30" t="b">
        <v>0</v>
      </c>
      <c r="AI242" s="22" t="s">
        <v>6</v>
      </c>
      <c r="AJ242" s="22" t="s">
        <v>395</v>
      </c>
    </row>
    <row r="243" spans="1:36" x14ac:dyDescent="0.25">
      <c r="A243" s="22" t="s">
        <v>758</v>
      </c>
      <c r="B243" s="22" t="s">
        <v>387</v>
      </c>
      <c r="C243" s="22">
        <v>4</v>
      </c>
      <c r="D243" s="22" t="s">
        <v>163</v>
      </c>
      <c r="E243" s="22" t="s">
        <v>6</v>
      </c>
      <c r="F243" s="22" t="s">
        <v>6</v>
      </c>
      <c r="G243" s="22" t="s">
        <v>6</v>
      </c>
      <c r="H243" s="22" t="s">
        <v>6</v>
      </c>
      <c r="I243" s="22" t="s">
        <v>389</v>
      </c>
      <c r="J243" s="22" t="s">
        <v>773</v>
      </c>
      <c r="K243" s="22">
        <v>2</v>
      </c>
      <c r="L243" s="22">
        <v>17.5</v>
      </c>
      <c r="M243" s="22">
        <v>17.5</v>
      </c>
      <c r="N243" s="22">
        <v>54</v>
      </c>
      <c r="O243" s="22">
        <v>138</v>
      </c>
      <c r="P243" s="23">
        <v>1</v>
      </c>
      <c r="Q243" s="22">
        <v>1</v>
      </c>
      <c r="R243" s="22">
        <v>1</v>
      </c>
      <c r="S243" s="22" t="s">
        <v>6</v>
      </c>
      <c r="T243" s="23">
        <v>1</v>
      </c>
      <c r="U243" s="22">
        <v>5</v>
      </c>
      <c r="V243" s="22">
        <v>5</v>
      </c>
      <c r="W243" s="22">
        <v>5</v>
      </c>
      <c r="X243" s="22" t="s">
        <v>396</v>
      </c>
      <c r="Y243" s="22" t="s">
        <v>327</v>
      </c>
      <c r="Z243" s="22" t="s">
        <v>133</v>
      </c>
      <c r="AA243" s="22">
        <v>1566.5916</v>
      </c>
      <c r="AB243" s="22" t="s">
        <v>6</v>
      </c>
      <c r="AC243" s="22">
        <v>2722.4205999999999</v>
      </c>
      <c r="AD243" s="22">
        <v>2042.3630000000001</v>
      </c>
      <c r="AE243" s="22" t="s">
        <v>6</v>
      </c>
      <c r="AF243" s="22" t="s">
        <v>394</v>
      </c>
      <c r="AG243" s="22" t="s">
        <v>391</v>
      </c>
      <c r="AH243" s="30" t="b">
        <v>0</v>
      </c>
      <c r="AI243" s="22" t="s">
        <v>6</v>
      </c>
      <c r="AJ243" s="22" t="s">
        <v>395</v>
      </c>
    </row>
    <row r="244" spans="1:36" x14ac:dyDescent="0.25">
      <c r="A244" s="22" t="s">
        <v>758</v>
      </c>
      <c r="B244" s="22" t="s">
        <v>397</v>
      </c>
      <c r="C244" s="22">
        <v>1</v>
      </c>
      <c r="D244" s="22" t="s">
        <v>615</v>
      </c>
      <c r="E244" s="22" t="s">
        <v>388</v>
      </c>
      <c r="F244" s="22" t="s">
        <v>733</v>
      </c>
      <c r="G244" s="22" t="s">
        <v>6</v>
      </c>
      <c r="H244" s="22" t="s">
        <v>728</v>
      </c>
      <c r="I244" s="22" t="s">
        <v>149</v>
      </c>
      <c r="J244" s="22" t="s">
        <v>24</v>
      </c>
      <c r="K244" s="22" t="s">
        <v>6</v>
      </c>
      <c r="L244" s="22">
        <v>14</v>
      </c>
      <c r="M244" s="22">
        <v>14</v>
      </c>
      <c r="N244" s="22">
        <v>55</v>
      </c>
      <c r="O244" s="22">
        <v>139</v>
      </c>
      <c r="P244" s="23">
        <v>1</v>
      </c>
      <c r="Q244" s="22">
        <v>14</v>
      </c>
      <c r="R244" s="22">
        <v>14</v>
      </c>
      <c r="S244" s="22" t="s">
        <v>6</v>
      </c>
      <c r="T244" s="23">
        <v>1</v>
      </c>
      <c r="U244" s="22">
        <v>9</v>
      </c>
      <c r="V244" s="22">
        <v>9</v>
      </c>
      <c r="W244" s="22" t="s">
        <v>6</v>
      </c>
      <c r="X244" s="22" t="s">
        <v>205</v>
      </c>
      <c r="Y244" s="22" t="s">
        <v>27</v>
      </c>
      <c r="Z244" s="22" t="s">
        <v>6</v>
      </c>
      <c r="AA244" s="22">
        <v>0</v>
      </c>
      <c r="AB244" s="22" t="s">
        <v>6</v>
      </c>
      <c r="AC244" s="22">
        <v>0</v>
      </c>
      <c r="AD244" s="22" t="s">
        <v>6</v>
      </c>
      <c r="AE244" s="22" t="s">
        <v>6</v>
      </c>
      <c r="AF244" s="22" t="s">
        <v>654</v>
      </c>
      <c r="AG244" s="22" t="s">
        <v>398</v>
      </c>
      <c r="AH244" s="30" t="b">
        <v>0</v>
      </c>
      <c r="AI244" s="22" t="s">
        <v>6</v>
      </c>
      <c r="AJ244" s="22" t="s">
        <v>399</v>
      </c>
    </row>
    <row r="245" spans="1:36" x14ac:dyDescent="0.25">
      <c r="A245" s="22" t="s">
        <v>758</v>
      </c>
      <c r="B245" s="22" t="s">
        <v>397</v>
      </c>
      <c r="C245" s="22">
        <v>1</v>
      </c>
      <c r="D245" s="22" t="s">
        <v>615</v>
      </c>
      <c r="E245" s="22" t="s">
        <v>388</v>
      </c>
      <c r="F245" s="22" t="s">
        <v>733</v>
      </c>
      <c r="G245" s="22" t="s">
        <v>6</v>
      </c>
      <c r="H245" s="22" t="s">
        <v>728</v>
      </c>
      <c r="I245" s="22" t="s">
        <v>149</v>
      </c>
      <c r="J245" s="22" t="s">
        <v>777</v>
      </c>
      <c r="K245" s="22">
        <v>1</v>
      </c>
      <c r="L245" s="22">
        <v>14</v>
      </c>
      <c r="M245" s="22">
        <v>14</v>
      </c>
      <c r="N245" s="22">
        <v>55</v>
      </c>
      <c r="O245" s="22">
        <v>140</v>
      </c>
      <c r="P245" s="23">
        <v>1</v>
      </c>
      <c r="Q245" s="22">
        <v>14</v>
      </c>
      <c r="R245" s="22">
        <v>14</v>
      </c>
      <c r="S245" s="22" t="s">
        <v>6</v>
      </c>
      <c r="T245" s="23">
        <v>1</v>
      </c>
      <c r="U245" s="22">
        <v>9</v>
      </c>
      <c r="V245" s="22">
        <v>9</v>
      </c>
      <c r="W245" s="22" t="s">
        <v>6</v>
      </c>
      <c r="X245" s="22" t="s">
        <v>400</v>
      </c>
      <c r="Y245" s="22" t="s">
        <v>27</v>
      </c>
      <c r="Z245" s="22" t="s">
        <v>6</v>
      </c>
      <c r="AA245" s="22">
        <v>0</v>
      </c>
      <c r="AB245" s="22" t="s">
        <v>6</v>
      </c>
      <c r="AC245" s="22">
        <v>0</v>
      </c>
      <c r="AD245" s="22" t="s">
        <v>6</v>
      </c>
      <c r="AE245" s="22" t="s">
        <v>6</v>
      </c>
      <c r="AF245" s="22" t="s">
        <v>538</v>
      </c>
      <c r="AG245" s="22" t="s">
        <v>6</v>
      </c>
      <c r="AH245" s="30" t="b">
        <v>0</v>
      </c>
      <c r="AI245" s="22" t="s">
        <v>6</v>
      </c>
      <c r="AJ245" s="22" t="s">
        <v>724</v>
      </c>
    </row>
    <row r="246" spans="1:36" x14ac:dyDescent="0.25">
      <c r="A246" s="22" t="s">
        <v>758</v>
      </c>
      <c r="B246" s="22" t="s">
        <v>402</v>
      </c>
      <c r="C246" s="22">
        <v>1</v>
      </c>
      <c r="D246" s="22" t="s">
        <v>139</v>
      </c>
      <c r="E246" s="22" t="s">
        <v>6</v>
      </c>
      <c r="F246" s="22" t="s">
        <v>6</v>
      </c>
      <c r="G246" s="22" t="s">
        <v>816</v>
      </c>
      <c r="H246" s="22" t="s">
        <v>6</v>
      </c>
      <c r="I246" s="22" t="s">
        <v>403</v>
      </c>
      <c r="J246" s="22" t="s">
        <v>24</v>
      </c>
      <c r="K246" s="22" t="s">
        <v>6</v>
      </c>
      <c r="L246" s="22">
        <v>14</v>
      </c>
      <c r="M246" s="22">
        <v>14</v>
      </c>
      <c r="N246" s="22">
        <v>56</v>
      </c>
      <c r="O246" s="22">
        <v>141</v>
      </c>
      <c r="P246" s="23">
        <v>1</v>
      </c>
      <c r="Q246" s="22">
        <v>19</v>
      </c>
      <c r="R246" s="22">
        <v>19</v>
      </c>
      <c r="S246" s="22" t="s">
        <v>6</v>
      </c>
      <c r="T246" s="23">
        <v>1</v>
      </c>
      <c r="U246" s="22">
        <v>20</v>
      </c>
      <c r="V246" s="22">
        <v>20</v>
      </c>
      <c r="W246" s="22" t="s">
        <v>6</v>
      </c>
      <c r="X246" s="22" t="s">
        <v>205</v>
      </c>
      <c r="Y246" s="22" t="s">
        <v>27</v>
      </c>
      <c r="Z246" s="22" t="s">
        <v>6</v>
      </c>
      <c r="AA246" s="22">
        <v>0</v>
      </c>
      <c r="AB246" s="22" t="s">
        <v>6</v>
      </c>
      <c r="AC246" s="22">
        <v>0</v>
      </c>
      <c r="AD246" s="22" t="s">
        <v>6</v>
      </c>
      <c r="AE246" s="22" t="s">
        <v>6</v>
      </c>
      <c r="AF246" s="22" t="s">
        <v>248</v>
      </c>
      <c r="AG246" s="22" t="s">
        <v>6</v>
      </c>
      <c r="AH246" s="30" t="b">
        <v>0</v>
      </c>
      <c r="AI246" s="22" t="s">
        <v>6</v>
      </c>
      <c r="AJ246" s="22" t="s">
        <v>762</v>
      </c>
    </row>
    <row r="247" spans="1:36" x14ac:dyDescent="0.25">
      <c r="A247" s="22" t="s">
        <v>758</v>
      </c>
      <c r="B247" s="22" t="s">
        <v>402</v>
      </c>
      <c r="C247" s="22">
        <v>1</v>
      </c>
      <c r="D247" s="22" t="s">
        <v>139</v>
      </c>
      <c r="E247" s="22" t="s">
        <v>6</v>
      </c>
      <c r="F247" s="22" t="s">
        <v>6</v>
      </c>
      <c r="G247" s="22" t="s">
        <v>816</v>
      </c>
      <c r="H247" s="22" t="s">
        <v>6</v>
      </c>
      <c r="I247" s="22" t="s">
        <v>403</v>
      </c>
      <c r="J247" s="22" t="s">
        <v>777</v>
      </c>
      <c r="K247" s="22">
        <v>1</v>
      </c>
      <c r="L247" s="22">
        <v>14</v>
      </c>
      <c r="M247" s="22">
        <v>14</v>
      </c>
      <c r="N247" s="22">
        <v>56</v>
      </c>
      <c r="O247" s="22">
        <v>142</v>
      </c>
      <c r="P247" s="23">
        <v>1</v>
      </c>
      <c r="Q247" s="22">
        <v>19</v>
      </c>
      <c r="R247" s="22">
        <v>19</v>
      </c>
      <c r="S247" s="22" t="s">
        <v>6</v>
      </c>
      <c r="T247" s="23">
        <v>1</v>
      </c>
      <c r="U247" s="22">
        <v>20</v>
      </c>
      <c r="V247" s="22">
        <v>20</v>
      </c>
      <c r="W247" s="22" t="s">
        <v>6</v>
      </c>
      <c r="X247" s="22" t="s">
        <v>400</v>
      </c>
      <c r="Y247" s="22" t="s">
        <v>27</v>
      </c>
      <c r="Z247" s="22" t="s">
        <v>6</v>
      </c>
      <c r="AA247" s="22">
        <f>15/19%</f>
        <v>78.94736842105263</v>
      </c>
      <c r="AB247" s="22" t="s">
        <v>6</v>
      </c>
      <c r="AC247" s="22">
        <f>12/20%</f>
        <v>60</v>
      </c>
      <c r="AD247" s="22" t="s">
        <v>6</v>
      </c>
      <c r="AE247" s="22" t="s">
        <v>6</v>
      </c>
      <c r="AF247" s="22" t="s">
        <v>248</v>
      </c>
      <c r="AG247" s="22" t="s">
        <v>6</v>
      </c>
      <c r="AH247" s="30" t="b">
        <v>0</v>
      </c>
      <c r="AI247" s="22" t="s">
        <v>6</v>
      </c>
      <c r="AJ247" s="22" t="s">
        <v>763</v>
      </c>
    </row>
    <row r="248" spans="1:36" x14ac:dyDescent="0.25">
      <c r="A248" s="22" t="s">
        <v>758</v>
      </c>
      <c r="B248" s="22" t="s">
        <v>402</v>
      </c>
      <c r="C248" s="22">
        <v>1</v>
      </c>
      <c r="D248" s="22" t="s">
        <v>139</v>
      </c>
      <c r="E248" s="22" t="s">
        <v>6</v>
      </c>
      <c r="F248" s="22" t="s">
        <v>6</v>
      </c>
      <c r="G248" s="22" t="s">
        <v>816</v>
      </c>
      <c r="H248" s="22" t="s">
        <v>6</v>
      </c>
      <c r="I248" s="22" t="s">
        <v>403</v>
      </c>
      <c r="J248" s="22" t="s">
        <v>773</v>
      </c>
      <c r="K248" s="22">
        <v>1</v>
      </c>
      <c r="L248" s="22">
        <v>14</v>
      </c>
      <c r="M248" s="22">
        <v>14</v>
      </c>
      <c r="N248" s="22">
        <v>56</v>
      </c>
      <c r="O248" s="22">
        <v>143</v>
      </c>
      <c r="P248" s="23">
        <v>1</v>
      </c>
      <c r="Q248" s="22">
        <v>16</v>
      </c>
      <c r="R248" s="22">
        <v>16</v>
      </c>
      <c r="S248" s="22">
        <v>16</v>
      </c>
      <c r="T248" s="23">
        <v>1</v>
      </c>
      <c r="U248" s="22">
        <v>12</v>
      </c>
      <c r="V248" s="22">
        <v>12</v>
      </c>
      <c r="W248" s="22">
        <v>12</v>
      </c>
      <c r="X248" s="22" t="s">
        <v>336</v>
      </c>
      <c r="Y248" s="22" t="s">
        <v>539</v>
      </c>
      <c r="Z248" s="22" t="s">
        <v>51</v>
      </c>
      <c r="AA248" s="22">
        <v>6.19</v>
      </c>
      <c r="AB248" s="22">
        <v>1.9</v>
      </c>
      <c r="AC248" s="22">
        <v>9.75</v>
      </c>
      <c r="AD248" s="22">
        <v>5.6</v>
      </c>
      <c r="AE248" s="22" t="s">
        <v>6</v>
      </c>
      <c r="AF248" s="22" t="s">
        <v>280</v>
      </c>
      <c r="AG248" s="22" t="s">
        <v>6</v>
      </c>
      <c r="AH248" s="30" t="s">
        <v>671</v>
      </c>
      <c r="AI248" s="22" t="s">
        <v>404</v>
      </c>
      <c r="AJ248" s="22" t="s">
        <v>764</v>
      </c>
    </row>
    <row r="249" spans="1:36" x14ac:dyDescent="0.25">
      <c r="A249" s="22" t="s">
        <v>758</v>
      </c>
      <c r="B249" s="22" t="s">
        <v>405</v>
      </c>
      <c r="C249" s="22">
        <v>1</v>
      </c>
      <c r="D249" s="22" t="s">
        <v>139</v>
      </c>
      <c r="E249" s="22" t="s">
        <v>6</v>
      </c>
      <c r="F249" s="22" t="s">
        <v>6</v>
      </c>
      <c r="G249" s="22" t="s">
        <v>816</v>
      </c>
      <c r="H249" s="22" t="s">
        <v>6</v>
      </c>
      <c r="I249" s="22" t="s">
        <v>143</v>
      </c>
      <c r="J249" s="22" t="s">
        <v>24</v>
      </c>
      <c r="K249" s="22" t="s">
        <v>6</v>
      </c>
      <c r="L249" s="22">
        <v>13</v>
      </c>
      <c r="M249" s="22">
        <v>13</v>
      </c>
      <c r="N249" s="22">
        <v>57</v>
      </c>
      <c r="O249" s="22">
        <v>144</v>
      </c>
      <c r="P249" s="23">
        <v>1</v>
      </c>
      <c r="Q249" s="22">
        <v>15</v>
      </c>
      <c r="R249" s="22">
        <v>15</v>
      </c>
      <c r="S249" s="22" t="s">
        <v>6</v>
      </c>
      <c r="T249" s="23">
        <v>1</v>
      </c>
      <c r="U249" s="22">
        <v>16</v>
      </c>
      <c r="V249" s="22">
        <v>16</v>
      </c>
      <c r="W249" s="22" t="s">
        <v>6</v>
      </c>
      <c r="X249" s="22" t="s">
        <v>205</v>
      </c>
      <c r="Y249" s="22" t="s">
        <v>27</v>
      </c>
      <c r="Z249" s="22" t="s">
        <v>6</v>
      </c>
      <c r="AA249" s="22">
        <f>(15-11)/15%</f>
        <v>26.666666666666668</v>
      </c>
      <c r="AB249" s="22" t="s">
        <v>6</v>
      </c>
      <c r="AC249" s="22">
        <f>(16-9)/16%</f>
        <v>43.75</v>
      </c>
      <c r="AD249" s="22" t="s">
        <v>6</v>
      </c>
      <c r="AE249" s="22" t="s">
        <v>6</v>
      </c>
      <c r="AF249" s="22" t="s">
        <v>280</v>
      </c>
      <c r="AG249" s="22" t="s">
        <v>6</v>
      </c>
      <c r="AH249" s="30" t="s">
        <v>671</v>
      </c>
      <c r="AI249" s="22" t="s">
        <v>406</v>
      </c>
      <c r="AJ249" s="22" t="s">
        <v>764</v>
      </c>
    </row>
    <row r="250" spans="1:36" x14ac:dyDescent="0.25">
      <c r="A250" s="22" t="s">
        <v>758</v>
      </c>
      <c r="B250" s="22" t="s">
        <v>407</v>
      </c>
      <c r="C250" s="22">
        <v>1</v>
      </c>
      <c r="D250" s="22" t="s">
        <v>761</v>
      </c>
      <c r="E250" s="22" t="s">
        <v>6</v>
      </c>
      <c r="F250" s="22" t="s">
        <v>6</v>
      </c>
      <c r="G250" s="22" t="s">
        <v>6</v>
      </c>
      <c r="H250" s="22" t="s">
        <v>6</v>
      </c>
      <c r="I250" s="22" t="s">
        <v>408</v>
      </c>
      <c r="J250" s="22" t="s">
        <v>24</v>
      </c>
      <c r="K250" s="22" t="s">
        <v>6</v>
      </c>
      <c r="L250" s="22">
        <v>30</v>
      </c>
      <c r="M250" s="22">
        <v>30</v>
      </c>
      <c r="N250" s="22">
        <v>58</v>
      </c>
      <c r="O250" s="22">
        <v>145</v>
      </c>
      <c r="P250" s="23">
        <v>1</v>
      </c>
      <c r="Q250" s="22">
        <v>4</v>
      </c>
      <c r="R250" s="22">
        <v>4</v>
      </c>
      <c r="S250" s="22" t="s">
        <v>6</v>
      </c>
      <c r="T250" s="23">
        <v>1</v>
      </c>
      <c r="U250" s="22">
        <v>4</v>
      </c>
      <c r="V250" s="22">
        <v>4</v>
      </c>
      <c r="W250" s="22" t="s">
        <v>6</v>
      </c>
      <c r="X250" s="22" t="s">
        <v>205</v>
      </c>
      <c r="Y250" s="22" t="s">
        <v>27</v>
      </c>
      <c r="Z250" s="22" t="s">
        <v>6</v>
      </c>
      <c r="AA250" s="22">
        <v>0</v>
      </c>
      <c r="AB250" s="22" t="s">
        <v>6</v>
      </c>
      <c r="AC250" s="22">
        <v>0</v>
      </c>
      <c r="AD250" s="22" t="s">
        <v>6</v>
      </c>
      <c r="AE250" s="22" t="s">
        <v>6</v>
      </c>
      <c r="AF250" s="22" t="s">
        <v>655</v>
      </c>
      <c r="AG250" s="22" t="s">
        <v>6</v>
      </c>
      <c r="AH250" s="30" t="b">
        <v>0</v>
      </c>
      <c r="AI250" s="22" t="s">
        <v>6</v>
      </c>
      <c r="AJ250" s="22" t="s">
        <v>6</v>
      </c>
    </row>
    <row r="251" spans="1:36" x14ac:dyDescent="0.25">
      <c r="A251" s="22" t="s">
        <v>758</v>
      </c>
      <c r="B251" s="22" t="s">
        <v>407</v>
      </c>
      <c r="C251" s="22">
        <v>1</v>
      </c>
      <c r="D251" s="22" t="s">
        <v>761</v>
      </c>
      <c r="E251" s="22" t="s">
        <v>6</v>
      </c>
      <c r="F251" s="22" t="s">
        <v>6</v>
      </c>
      <c r="G251" s="22" t="s">
        <v>6</v>
      </c>
      <c r="H251" s="22" t="s">
        <v>6</v>
      </c>
      <c r="I251" s="22" t="s">
        <v>408</v>
      </c>
      <c r="J251" s="22" t="s">
        <v>777</v>
      </c>
      <c r="K251" s="22">
        <v>1</v>
      </c>
      <c r="L251" s="22">
        <v>30</v>
      </c>
      <c r="M251" s="22">
        <v>30</v>
      </c>
      <c r="N251" s="22">
        <v>58</v>
      </c>
      <c r="O251" s="22">
        <v>146</v>
      </c>
      <c r="P251" s="23">
        <v>1</v>
      </c>
      <c r="Q251" s="22">
        <v>4</v>
      </c>
      <c r="R251" s="22">
        <v>4</v>
      </c>
      <c r="S251" s="22" t="s">
        <v>6</v>
      </c>
      <c r="T251" s="23">
        <v>1</v>
      </c>
      <c r="U251" s="22">
        <v>4</v>
      </c>
      <c r="V251" s="22">
        <v>4</v>
      </c>
      <c r="W251" s="22" t="s">
        <v>6</v>
      </c>
      <c r="X251" s="22" t="s">
        <v>410</v>
      </c>
      <c r="Y251" s="22" t="s">
        <v>27</v>
      </c>
      <c r="Z251" s="22" t="s">
        <v>6</v>
      </c>
      <c r="AA251" s="22">
        <v>0</v>
      </c>
      <c r="AB251" s="22" t="s">
        <v>6</v>
      </c>
      <c r="AC251" s="22">
        <v>0</v>
      </c>
      <c r="AD251" s="22" t="s">
        <v>6</v>
      </c>
      <c r="AE251" s="22" t="s">
        <v>6</v>
      </c>
      <c r="AF251" s="22" t="s">
        <v>280</v>
      </c>
      <c r="AG251" s="22" t="s">
        <v>6</v>
      </c>
      <c r="AH251" s="30" t="b">
        <v>0</v>
      </c>
      <c r="AI251" s="22" t="s">
        <v>6</v>
      </c>
      <c r="AJ251" s="22" t="s">
        <v>409</v>
      </c>
    </row>
    <row r="252" spans="1:36" x14ac:dyDescent="0.25">
      <c r="A252" s="22" t="s">
        <v>758</v>
      </c>
      <c r="B252" s="22" t="s">
        <v>407</v>
      </c>
      <c r="C252" s="22">
        <v>2</v>
      </c>
      <c r="D252" s="22" t="s">
        <v>761</v>
      </c>
      <c r="E252" s="22" t="s">
        <v>6</v>
      </c>
      <c r="F252" s="22" t="s">
        <v>6</v>
      </c>
      <c r="G252" s="22" t="s">
        <v>6</v>
      </c>
      <c r="H252" s="22" t="s">
        <v>6</v>
      </c>
      <c r="I252" s="22" t="s">
        <v>408</v>
      </c>
      <c r="J252" s="22" t="s">
        <v>24</v>
      </c>
      <c r="K252" s="22" t="s">
        <v>6</v>
      </c>
      <c r="L252" s="22">
        <v>60</v>
      </c>
      <c r="M252" s="22">
        <v>60</v>
      </c>
      <c r="N252" s="22">
        <v>58</v>
      </c>
      <c r="O252" s="22">
        <v>147</v>
      </c>
      <c r="P252" s="23">
        <v>1</v>
      </c>
      <c r="Q252" s="22">
        <v>4</v>
      </c>
      <c r="R252" s="22">
        <v>4</v>
      </c>
      <c r="S252" s="22" t="s">
        <v>6</v>
      </c>
      <c r="T252" s="23">
        <v>1</v>
      </c>
      <c r="U252" s="22">
        <v>4</v>
      </c>
      <c r="V252" s="22">
        <v>4</v>
      </c>
      <c r="W252" s="22" t="s">
        <v>6</v>
      </c>
      <c r="X252" s="22" t="s">
        <v>205</v>
      </c>
      <c r="Y252" s="22" t="s">
        <v>27</v>
      </c>
      <c r="Z252" s="22" t="s">
        <v>6</v>
      </c>
      <c r="AA252" s="22">
        <v>0</v>
      </c>
      <c r="AB252" s="22" t="s">
        <v>6</v>
      </c>
      <c r="AC252" s="22">
        <v>0</v>
      </c>
      <c r="AD252" s="22" t="s">
        <v>6</v>
      </c>
      <c r="AE252" s="22" t="s">
        <v>6</v>
      </c>
      <c r="AF252" s="22" t="s">
        <v>656</v>
      </c>
      <c r="AG252" s="22" t="s">
        <v>6</v>
      </c>
      <c r="AH252" s="30" t="b">
        <v>0</v>
      </c>
      <c r="AI252" s="22" t="s">
        <v>6</v>
      </c>
      <c r="AJ252" s="22" t="s">
        <v>584</v>
      </c>
    </row>
    <row r="253" spans="1:36" x14ac:dyDescent="0.25">
      <c r="A253" s="22" t="s">
        <v>758</v>
      </c>
      <c r="B253" s="22" t="s">
        <v>407</v>
      </c>
      <c r="C253" s="22">
        <v>2</v>
      </c>
      <c r="D253" s="22" t="s">
        <v>761</v>
      </c>
      <c r="E253" s="22" t="s">
        <v>6</v>
      </c>
      <c r="F253" s="22" t="s">
        <v>6</v>
      </c>
      <c r="G253" s="22" t="s">
        <v>6</v>
      </c>
      <c r="H253" s="22" t="s">
        <v>6</v>
      </c>
      <c r="I253" s="22" t="s">
        <v>408</v>
      </c>
      <c r="J253" s="22" t="s">
        <v>775</v>
      </c>
      <c r="K253" s="22">
        <v>10</v>
      </c>
      <c r="L253" s="22">
        <v>18</v>
      </c>
      <c r="M253" s="22">
        <v>12</v>
      </c>
      <c r="N253" s="22">
        <v>58</v>
      </c>
      <c r="O253" s="22">
        <v>148</v>
      </c>
      <c r="P253" s="23">
        <v>1</v>
      </c>
      <c r="Q253" s="22">
        <v>4</v>
      </c>
      <c r="R253" s="22">
        <v>4</v>
      </c>
      <c r="S253" s="22" t="s">
        <v>6</v>
      </c>
      <c r="T253" s="23">
        <v>1</v>
      </c>
      <c r="U253" s="22">
        <v>4</v>
      </c>
      <c r="V253" s="22">
        <v>4</v>
      </c>
      <c r="W253" s="22" t="s">
        <v>6</v>
      </c>
      <c r="X253" s="22" t="s">
        <v>166</v>
      </c>
      <c r="Y253" s="22" t="s">
        <v>27</v>
      </c>
      <c r="Z253" s="22" t="s">
        <v>6</v>
      </c>
      <c r="AA253" s="22">
        <f>4/4%</f>
        <v>100</v>
      </c>
      <c r="AB253" s="22" t="s">
        <v>6</v>
      </c>
      <c r="AC253" s="22">
        <f>3/4%</f>
        <v>75</v>
      </c>
      <c r="AD253" s="22" t="s">
        <v>6</v>
      </c>
      <c r="AE253" s="22" t="s">
        <v>6</v>
      </c>
      <c r="AF253" s="22" t="s">
        <v>411</v>
      </c>
      <c r="AG253" s="22" t="s">
        <v>6</v>
      </c>
      <c r="AH253" s="30" t="b">
        <v>0</v>
      </c>
      <c r="AI253" s="22" t="s">
        <v>6</v>
      </c>
      <c r="AJ253" s="22" t="s">
        <v>610</v>
      </c>
    </row>
    <row r="254" spans="1:36" x14ac:dyDescent="0.25">
      <c r="A254" s="22" t="s">
        <v>758</v>
      </c>
      <c r="B254" s="22" t="s">
        <v>407</v>
      </c>
      <c r="C254" s="22">
        <v>2</v>
      </c>
      <c r="D254" s="22" t="s">
        <v>761</v>
      </c>
      <c r="E254" s="22" t="s">
        <v>6</v>
      </c>
      <c r="F254" s="22" t="s">
        <v>6</v>
      </c>
      <c r="G254" s="22" t="s">
        <v>6</v>
      </c>
      <c r="H254" s="22" t="s">
        <v>6</v>
      </c>
      <c r="I254" s="22" t="s">
        <v>408</v>
      </c>
      <c r="J254" s="22" t="s">
        <v>774</v>
      </c>
      <c r="K254" s="22">
        <v>10</v>
      </c>
      <c r="L254" s="22">
        <v>28.5</v>
      </c>
      <c r="M254" s="22">
        <v>24</v>
      </c>
      <c r="N254" s="22">
        <v>58</v>
      </c>
      <c r="O254" s="22">
        <v>149</v>
      </c>
      <c r="P254" s="23">
        <v>1</v>
      </c>
      <c r="Q254" s="22">
        <v>4</v>
      </c>
      <c r="R254" s="22">
        <v>4</v>
      </c>
      <c r="S254" s="22">
        <v>4</v>
      </c>
      <c r="T254" s="23">
        <v>1</v>
      </c>
      <c r="U254" s="22">
        <v>3</v>
      </c>
      <c r="V254" s="22">
        <v>3</v>
      </c>
      <c r="W254" s="22">
        <v>3</v>
      </c>
      <c r="X254" s="22" t="s">
        <v>169</v>
      </c>
      <c r="Y254" s="22" t="s">
        <v>412</v>
      </c>
      <c r="Z254" s="22" t="s">
        <v>133</v>
      </c>
      <c r="AA254" s="22">
        <v>28.542993630573257</v>
      </c>
      <c r="AB254" s="22">
        <v>21.764036612113109</v>
      </c>
      <c r="AC254" s="22">
        <v>31.229235880398658</v>
      </c>
      <c r="AD254" s="22">
        <v>32.255629002802266</v>
      </c>
      <c r="AE254" s="22" t="s">
        <v>6</v>
      </c>
      <c r="AF254" s="22" t="s">
        <v>413</v>
      </c>
      <c r="AG254" s="22" t="s">
        <v>6</v>
      </c>
      <c r="AH254" s="30" t="b">
        <v>0</v>
      </c>
      <c r="AI254" s="22" t="s">
        <v>6</v>
      </c>
      <c r="AJ254" s="22" t="s">
        <v>584</v>
      </c>
    </row>
    <row r="255" spans="1:36" x14ac:dyDescent="0.25">
      <c r="A255" s="22" t="s">
        <v>758</v>
      </c>
      <c r="B255" s="22" t="s">
        <v>414</v>
      </c>
      <c r="C255" s="22">
        <v>1</v>
      </c>
      <c r="D255" s="22" t="s">
        <v>615</v>
      </c>
      <c r="E255" s="22" t="s">
        <v>151</v>
      </c>
      <c r="F255" s="22" t="s">
        <v>734</v>
      </c>
      <c r="G255" s="22" t="s">
        <v>6</v>
      </c>
      <c r="H255" s="22" t="s">
        <v>730</v>
      </c>
      <c r="I255" s="22" t="s">
        <v>127</v>
      </c>
      <c r="J255" s="22" t="s">
        <v>24</v>
      </c>
      <c r="K255" s="22" t="s">
        <v>6</v>
      </c>
      <c r="L255" s="22">
        <f>189-105</f>
        <v>84</v>
      </c>
      <c r="M255" s="22">
        <f>189-105</f>
        <v>84</v>
      </c>
      <c r="N255" s="22">
        <v>3</v>
      </c>
      <c r="O255" s="22">
        <v>150</v>
      </c>
      <c r="P255" s="23">
        <v>1</v>
      </c>
      <c r="Q255" s="22">
        <v>19</v>
      </c>
      <c r="R255" s="22">
        <v>19</v>
      </c>
      <c r="S255" s="22" t="s">
        <v>6</v>
      </c>
      <c r="T255" s="23">
        <v>1</v>
      </c>
      <c r="U255" s="22">
        <v>23</v>
      </c>
      <c r="V255" s="22">
        <v>23</v>
      </c>
      <c r="W255" s="22" t="s">
        <v>6</v>
      </c>
      <c r="X255" s="22" t="s">
        <v>205</v>
      </c>
      <c r="Y255" s="22" t="s">
        <v>27</v>
      </c>
      <c r="Z255" s="22" t="s">
        <v>6</v>
      </c>
      <c r="AA255" s="22">
        <f>100-19/19%</f>
        <v>0</v>
      </c>
      <c r="AB255" s="22" t="s">
        <v>6</v>
      </c>
      <c r="AC255" s="22">
        <f>100-23/23%</f>
        <v>0</v>
      </c>
      <c r="AD255" s="22" t="s">
        <v>6</v>
      </c>
      <c r="AE255" s="22" t="s">
        <v>585</v>
      </c>
      <c r="AF255" s="22" t="s">
        <v>415</v>
      </c>
      <c r="AG255" s="22" t="s">
        <v>6</v>
      </c>
      <c r="AH255" s="30" t="b">
        <v>0</v>
      </c>
      <c r="AI255" s="22" t="s">
        <v>6</v>
      </c>
      <c r="AJ255" s="22" t="s">
        <v>664</v>
      </c>
    </row>
    <row r="256" spans="1:36" x14ac:dyDescent="0.25">
      <c r="A256" s="22" t="s">
        <v>758</v>
      </c>
      <c r="B256" s="22" t="s">
        <v>414</v>
      </c>
      <c r="C256" s="22">
        <v>1</v>
      </c>
      <c r="D256" s="22" t="s">
        <v>761</v>
      </c>
      <c r="E256" s="22" t="s">
        <v>6</v>
      </c>
      <c r="F256" s="22" t="s">
        <v>6</v>
      </c>
      <c r="G256" s="22" t="s">
        <v>6</v>
      </c>
      <c r="H256" s="22" t="s">
        <v>6</v>
      </c>
      <c r="I256" s="22" t="s">
        <v>6</v>
      </c>
      <c r="J256" s="22" t="s">
        <v>24</v>
      </c>
      <c r="K256" s="22" t="s">
        <v>6</v>
      </c>
      <c r="L256" s="22">
        <f>189-105</f>
        <v>84</v>
      </c>
      <c r="M256" s="22">
        <f>189-105</f>
        <v>84</v>
      </c>
      <c r="N256" s="22">
        <v>3</v>
      </c>
      <c r="O256" s="22">
        <v>150</v>
      </c>
      <c r="P256" s="23">
        <v>2</v>
      </c>
      <c r="Q256" s="22">
        <v>23</v>
      </c>
      <c r="R256" s="22">
        <v>23</v>
      </c>
      <c r="S256" s="22" t="s">
        <v>6</v>
      </c>
      <c r="T256" s="23">
        <v>2</v>
      </c>
      <c r="U256" s="22">
        <v>23</v>
      </c>
      <c r="V256" s="22">
        <v>23</v>
      </c>
      <c r="W256" s="22" t="s">
        <v>6</v>
      </c>
      <c r="X256" s="22" t="s">
        <v>205</v>
      </c>
      <c r="Y256" s="22" t="s">
        <v>27</v>
      </c>
      <c r="Z256" s="22" t="s">
        <v>6</v>
      </c>
      <c r="AA256" s="22">
        <f>100-23/23%</f>
        <v>0</v>
      </c>
      <c r="AB256" s="22" t="s">
        <v>6</v>
      </c>
      <c r="AC256" s="22">
        <f>100-10/23%</f>
        <v>56.521739130434781</v>
      </c>
      <c r="AD256" s="22" t="s">
        <v>6</v>
      </c>
      <c r="AE256" s="22" t="s">
        <v>586</v>
      </c>
      <c r="AF256" s="22" t="s">
        <v>415</v>
      </c>
      <c r="AG256" s="22" t="s">
        <v>6</v>
      </c>
      <c r="AH256" s="30" t="b">
        <v>0</v>
      </c>
      <c r="AI256" s="22" t="s">
        <v>6</v>
      </c>
      <c r="AJ256" s="22" t="s">
        <v>664</v>
      </c>
    </row>
    <row r="257" spans="1:36" x14ac:dyDescent="0.25">
      <c r="A257" s="22" t="s">
        <v>758</v>
      </c>
      <c r="B257" s="22" t="s">
        <v>414</v>
      </c>
      <c r="C257" s="22">
        <v>1</v>
      </c>
      <c r="D257" s="22" t="s">
        <v>615</v>
      </c>
      <c r="E257" s="22" t="s">
        <v>151</v>
      </c>
      <c r="F257" s="22" t="s">
        <v>734</v>
      </c>
      <c r="G257" s="22" t="s">
        <v>6</v>
      </c>
      <c r="H257" s="22" t="s">
        <v>730</v>
      </c>
      <c r="I257" s="22" t="s">
        <v>127</v>
      </c>
      <c r="J257" s="22" t="s">
        <v>775</v>
      </c>
      <c r="K257" s="22">
        <v>12</v>
      </c>
      <c r="L257" s="22">
        <v>7</v>
      </c>
      <c r="M257" s="22">
        <v>7</v>
      </c>
      <c r="N257" s="22">
        <v>3</v>
      </c>
      <c r="O257" s="22">
        <v>151</v>
      </c>
      <c r="P257" s="23">
        <v>1</v>
      </c>
      <c r="Q257" s="22">
        <v>19</v>
      </c>
      <c r="R257" s="22">
        <v>19</v>
      </c>
      <c r="S257" s="22" t="s">
        <v>6</v>
      </c>
      <c r="T257" s="23">
        <v>1</v>
      </c>
      <c r="U257" s="22">
        <v>23</v>
      </c>
      <c r="V257" s="22">
        <v>23</v>
      </c>
      <c r="W257" s="22" t="s">
        <v>6</v>
      </c>
      <c r="X257" s="22" t="s">
        <v>417</v>
      </c>
      <c r="Y257" s="22" t="s">
        <v>27</v>
      </c>
      <c r="Z257" s="22" t="s">
        <v>6</v>
      </c>
      <c r="AA257" s="22">
        <v>63.571428571428598</v>
      </c>
      <c r="AB257" s="22" t="s">
        <v>6</v>
      </c>
      <c r="AC257" s="22">
        <v>65</v>
      </c>
      <c r="AD257" s="22" t="s">
        <v>6</v>
      </c>
      <c r="AE257" s="22" t="s">
        <v>585</v>
      </c>
      <c r="AF257" s="22" t="s">
        <v>416</v>
      </c>
      <c r="AG257" s="22" t="s">
        <v>6</v>
      </c>
      <c r="AH257" s="30" t="b">
        <v>0</v>
      </c>
      <c r="AI257" s="22" t="s">
        <v>6</v>
      </c>
      <c r="AJ257" s="22" t="s">
        <v>664</v>
      </c>
    </row>
    <row r="258" spans="1:36" x14ac:dyDescent="0.25">
      <c r="A258" s="22" t="s">
        <v>758</v>
      </c>
      <c r="B258" s="22" t="s">
        <v>414</v>
      </c>
      <c r="C258" s="22">
        <v>1</v>
      </c>
      <c r="D258" s="22" t="s">
        <v>761</v>
      </c>
      <c r="E258" s="22" t="s">
        <v>6</v>
      </c>
      <c r="F258" s="22" t="s">
        <v>6</v>
      </c>
      <c r="G258" s="22" t="s">
        <v>6</v>
      </c>
      <c r="H258" s="22" t="s">
        <v>6</v>
      </c>
      <c r="I258" s="22" t="s">
        <v>6</v>
      </c>
      <c r="J258" s="22" t="s">
        <v>775</v>
      </c>
      <c r="K258" s="22">
        <v>12</v>
      </c>
      <c r="L258" s="22">
        <v>49</v>
      </c>
      <c r="M258" s="22">
        <v>7</v>
      </c>
      <c r="N258" s="22">
        <v>3</v>
      </c>
      <c r="O258" s="22">
        <v>151</v>
      </c>
      <c r="P258" s="23">
        <v>2</v>
      </c>
      <c r="Q258" s="22">
        <v>23</v>
      </c>
      <c r="R258" s="22">
        <v>23</v>
      </c>
      <c r="S258" s="22" t="s">
        <v>6</v>
      </c>
      <c r="T258" s="23">
        <v>2</v>
      </c>
      <c r="U258" s="22">
        <v>23</v>
      </c>
      <c r="V258" s="22">
        <v>23</v>
      </c>
      <c r="W258" s="22" t="s">
        <v>6</v>
      </c>
      <c r="X258" s="22" t="s">
        <v>417</v>
      </c>
      <c r="Y258" s="22" t="s">
        <v>27</v>
      </c>
      <c r="Z258" s="22" t="s">
        <v>6</v>
      </c>
      <c r="AA258" s="22">
        <v>65</v>
      </c>
      <c r="AB258" s="22" t="s">
        <v>6</v>
      </c>
      <c r="AC258" s="22">
        <v>100</v>
      </c>
      <c r="AD258" s="22" t="s">
        <v>6</v>
      </c>
      <c r="AE258" s="22" t="s">
        <v>586</v>
      </c>
      <c r="AF258" s="22" t="s">
        <v>416</v>
      </c>
      <c r="AG258" s="22" t="s">
        <v>6</v>
      </c>
      <c r="AH258" s="30" t="b">
        <v>0</v>
      </c>
      <c r="AI258" s="22" t="s">
        <v>6</v>
      </c>
      <c r="AJ258" s="22" t="s">
        <v>664</v>
      </c>
    </row>
    <row r="259" spans="1:36" x14ac:dyDescent="0.25">
      <c r="A259" s="22" t="s">
        <v>758</v>
      </c>
      <c r="B259" s="22" t="s">
        <v>414</v>
      </c>
      <c r="C259" s="22">
        <v>1</v>
      </c>
      <c r="D259" s="22" t="s">
        <v>615</v>
      </c>
      <c r="E259" s="22" t="s">
        <v>151</v>
      </c>
      <c r="F259" s="22" t="s">
        <v>734</v>
      </c>
      <c r="G259" s="22" t="s">
        <v>6</v>
      </c>
      <c r="H259" s="22" t="s">
        <v>730</v>
      </c>
      <c r="I259" s="22" t="s">
        <v>127</v>
      </c>
      <c r="J259" s="22" t="s">
        <v>774</v>
      </c>
      <c r="K259" s="22">
        <v>12</v>
      </c>
      <c r="L259" s="22">
        <v>7</v>
      </c>
      <c r="M259" s="22">
        <v>42</v>
      </c>
      <c r="N259" s="22">
        <v>3</v>
      </c>
      <c r="O259" s="22">
        <v>152</v>
      </c>
      <c r="P259" s="23">
        <v>1</v>
      </c>
      <c r="Q259" s="43">
        <v>11.623530000000001</v>
      </c>
      <c r="R259" s="43">
        <v>11.623530000000001</v>
      </c>
      <c r="S259" s="22" t="s">
        <v>6</v>
      </c>
      <c r="T259" s="23">
        <v>1</v>
      </c>
      <c r="U259" s="43">
        <v>13.93529</v>
      </c>
      <c r="V259" s="43">
        <v>13.93529</v>
      </c>
      <c r="W259" s="22" t="s">
        <v>6</v>
      </c>
      <c r="X259" s="22" t="s">
        <v>418</v>
      </c>
      <c r="Y259" s="22" t="s">
        <v>419</v>
      </c>
      <c r="Z259" s="22" t="s">
        <v>6</v>
      </c>
      <c r="AA259" s="43">
        <v>2.9931860000000001</v>
      </c>
      <c r="AB259" s="22" t="s">
        <v>6</v>
      </c>
      <c r="AC259" s="43">
        <v>4.6672669999999998</v>
      </c>
      <c r="AD259" s="22" t="s">
        <v>6</v>
      </c>
      <c r="AE259" s="22" t="s">
        <v>585</v>
      </c>
      <c r="AF259" s="22" t="s">
        <v>665</v>
      </c>
      <c r="AG259" s="22" t="s">
        <v>6</v>
      </c>
      <c r="AH259" s="30" t="b">
        <v>0</v>
      </c>
      <c r="AI259" s="22" t="s">
        <v>6</v>
      </c>
      <c r="AJ259" s="22" t="s">
        <v>666</v>
      </c>
    </row>
    <row r="260" spans="1:36" x14ac:dyDescent="0.25">
      <c r="A260" s="22" t="s">
        <v>758</v>
      </c>
      <c r="B260" s="22" t="s">
        <v>414</v>
      </c>
      <c r="C260" s="22">
        <v>1</v>
      </c>
      <c r="D260" s="22" t="s">
        <v>761</v>
      </c>
      <c r="E260" s="22" t="s">
        <v>6</v>
      </c>
      <c r="F260" s="22" t="s">
        <v>6</v>
      </c>
      <c r="G260" s="22" t="s">
        <v>6</v>
      </c>
      <c r="H260" s="22" t="s">
        <v>6</v>
      </c>
      <c r="I260" s="22" t="s">
        <v>6</v>
      </c>
      <c r="J260" s="22" t="s">
        <v>774</v>
      </c>
      <c r="K260" s="22">
        <v>12</v>
      </c>
      <c r="L260" s="22">
        <v>42</v>
      </c>
      <c r="M260" s="22">
        <v>42</v>
      </c>
      <c r="N260" s="22">
        <v>3</v>
      </c>
      <c r="O260" s="22">
        <v>152</v>
      </c>
      <c r="P260" s="23">
        <v>2</v>
      </c>
      <c r="Q260" s="43">
        <v>13.93529</v>
      </c>
      <c r="R260" s="43">
        <v>13.93529</v>
      </c>
      <c r="S260" s="22" t="s">
        <v>6</v>
      </c>
      <c r="T260" s="23">
        <v>2</v>
      </c>
      <c r="U260" s="43">
        <v>21</v>
      </c>
      <c r="V260" s="43">
        <v>21</v>
      </c>
      <c r="W260" s="22" t="s">
        <v>6</v>
      </c>
      <c r="X260" s="22" t="s">
        <v>418</v>
      </c>
      <c r="Y260" s="22" t="s">
        <v>419</v>
      </c>
      <c r="Z260" s="22" t="s">
        <v>6</v>
      </c>
      <c r="AA260" s="43">
        <v>4.6672669999999998</v>
      </c>
      <c r="AB260" s="22" t="s">
        <v>6</v>
      </c>
      <c r="AC260" s="43">
        <v>5.3543050000000001</v>
      </c>
      <c r="AD260" s="22" t="s">
        <v>6</v>
      </c>
      <c r="AE260" s="22" t="s">
        <v>586</v>
      </c>
      <c r="AF260" s="22" t="s">
        <v>665</v>
      </c>
      <c r="AG260" s="22" t="s">
        <v>6</v>
      </c>
      <c r="AH260" s="30" t="b">
        <v>0</v>
      </c>
      <c r="AI260" s="22" t="s">
        <v>6</v>
      </c>
      <c r="AJ260" s="22" t="s">
        <v>667</v>
      </c>
    </row>
    <row r="261" spans="1:36" x14ac:dyDescent="0.25">
      <c r="A261" s="22" t="s">
        <v>759</v>
      </c>
      <c r="B261" s="22" t="s">
        <v>540</v>
      </c>
      <c r="C261" s="22">
        <v>1</v>
      </c>
      <c r="D261" s="22" t="s">
        <v>615</v>
      </c>
      <c r="E261" s="22" t="s">
        <v>545</v>
      </c>
      <c r="F261" s="22" t="s">
        <v>38</v>
      </c>
      <c r="G261" s="22" t="s">
        <v>6</v>
      </c>
      <c r="H261" s="22" t="s">
        <v>732</v>
      </c>
      <c r="I261" s="22" t="s">
        <v>725</v>
      </c>
      <c r="J261" s="22" t="s">
        <v>24</v>
      </c>
      <c r="K261" s="22" t="s">
        <v>6</v>
      </c>
      <c r="L261" s="22">
        <v>62</v>
      </c>
      <c r="M261" s="22">
        <v>62</v>
      </c>
      <c r="N261" s="22">
        <v>59</v>
      </c>
      <c r="O261" s="22">
        <v>153</v>
      </c>
      <c r="P261" s="23">
        <v>1</v>
      </c>
      <c r="Q261" s="22">
        <v>10</v>
      </c>
      <c r="R261" s="22">
        <v>10</v>
      </c>
      <c r="S261" s="22" t="s">
        <v>6</v>
      </c>
      <c r="T261" s="23">
        <v>1</v>
      </c>
      <c r="U261" s="22">
        <v>10</v>
      </c>
      <c r="V261" s="22">
        <v>10</v>
      </c>
      <c r="W261" s="22" t="s">
        <v>6</v>
      </c>
      <c r="X261" s="22" t="s">
        <v>205</v>
      </c>
      <c r="Y261" s="22" t="s">
        <v>27</v>
      </c>
      <c r="Z261" s="22" t="s">
        <v>6</v>
      </c>
      <c r="AA261" s="22">
        <v>0</v>
      </c>
      <c r="AB261" s="22" t="s">
        <v>6</v>
      </c>
      <c r="AC261" s="22">
        <v>0</v>
      </c>
      <c r="AD261" s="22" t="s">
        <v>6</v>
      </c>
      <c r="AE261" s="22" t="s">
        <v>546</v>
      </c>
      <c r="AF261" s="22" t="s">
        <v>248</v>
      </c>
      <c r="AG261" s="22" t="s">
        <v>6</v>
      </c>
      <c r="AH261" s="30" t="b">
        <v>0</v>
      </c>
      <c r="AI261" s="22" t="s">
        <v>6</v>
      </c>
      <c r="AJ261" s="22" t="s">
        <v>547</v>
      </c>
    </row>
    <row r="262" spans="1:36" x14ac:dyDescent="0.25">
      <c r="A262" s="22" t="s">
        <v>759</v>
      </c>
      <c r="B262" s="22" t="s">
        <v>540</v>
      </c>
      <c r="C262" s="22">
        <v>1</v>
      </c>
      <c r="D262" s="22" t="s">
        <v>615</v>
      </c>
      <c r="E262" s="22" t="s">
        <v>545</v>
      </c>
      <c r="F262" s="22" t="s">
        <v>38</v>
      </c>
      <c r="G262" s="22" t="s">
        <v>6</v>
      </c>
      <c r="H262" s="22" t="s">
        <v>732</v>
      </c>
      <c r="I262" s="22" t="s">
        <v>725</v>
      </c>
      <c r="J262" s="22" t="s">
        <v>775</v>
      </c>
      <c r="K262" s="22">
        <v>8</v>
      </c>
      <c r="L262" s="22">
        <v>62</v>
      </c>
      <c r="M262" s="22">
        <v>62</v>
      </c>
      <c r="N262" s="22">
        <v>59</v>
      </c>
      <c r="O262" s="22">
        <v>154</v>
      </c>
      <c r="P262" s="23">
        <v>1</v>
      </c>
      <c r="Q262" s="22">
        <v>10</v>
      </c>
      <c r="R262" s="22">
        <v>10</v>
      </c>
      <c r="S262" s="22" t="s">
        <v>6</v>
      </c>
      <c r="T262" s="23">
        <v>1</v>
      </c>
      <c r="U262" s="22">
        <v>10</v>
      </c>
      <c r="V262" s="22">
        <v>10</v>
      </c>
      <c r="W262" s="22" t="s">
        <v>6</v>
      </c>
      <c r="X262" s="22" t="s">
        <v>166</v>
      </c>
      <c r="Y262" s="22" t="s">
        <v>27</v>
      </c>
      <c r="Z262" s="22" t="s">
        <v>6</v>
      </c>
      <c r="AA262" s="22">
        <v>0</v>
      </c>
      <c r="AB262" s="22" t="s">
        <v>6</v>
      </c>
      <c r="AC262" s="22">
        <v>0</v>
      </c>
      <c r="AD262" s="22" t="s">
        <v>6</v>
      </c>
      <c r="AE262" s="22" t="s">
        <v>546</v>
      </c>
      <c r="AF262" s="22" t="s">
        <v>569</v>
      </c>
      <c r="AG262" s="22" t="s">
        <v>6</v>
      </c>
      <c r="AH262" s="30" t="b">
        <v>0</v>
      </c>
      <c r="AI262" s="22" t="s">
        <v>6</v>
      </c>
      <c r="AJ262" s="22" t="s">
        <v>577</v>
      </c>
    </row>
    <row r="263" spans="1:36" x14ac:dyDescent="0.25">
      <c r="A263" s="22" t="s">
        <v>759</v>
      </c>
      <c r="B263" s="22" t="s">
        <v>548</v>
      </c>
      <c r="C263" s="22">
        <v>1</v>
      </c>
      <c r="D263" s="22" t="s">
        <v>615</v>
      </c>
      <c r="E263" s="22" t="s">
        <v>552</v>
      </c>
      <c r="F263" s="22" t="s">
        <v>733</v>
      </c>
      <c r="G263" s="22" t="s">
        <v>6</v>
      </c>
      <c r="H263" s="22" t="s">
        <v>732</v>
      </c>
      <c r="I263" s="22" t="s">
        <v>558</v>
      </c>
      <c r="J263" s="22" t="s">
        <v>24</v>
      </c>
      <c r="K263" s="22" t="s">
        <v>6</v>
      </c>
      <c r="L263" s="22">
        <v>202</v>
      </c>
      <c r="M263" s="22">
        <v>202</v>
      </c>
      <c r="N263" s="22">
        <v>60</v>
      </c>
      <c r="O263" s="22">
        <v>155</v>
      </c>
      <c r="P263" s="23">
        <v>1</v>
      </c>
      <c r="Q263" s="22">
        <v>14</v>
      </c>
      <c r="R263" s="22">
        <v>14</v>
      </c>
      <c r="S263" s="22" t="s">
        <v>6</v>
      </c>
      <c r="T263" s="23">
        <v>1</v>
      </c>
      <c r="U263" s="22">
        <v>20</v>
      </c>
      <c r="V263" s="22">
        <v>20</v>
      </c>
      <c r="W263" s="22" t="s">
        <v>6</v>
      </c>
      <c r="X263" s="22" t="s">
        <v>205</v>
      </c>
      <c r="Y263" s="22" t="s">
        <v>27</v>
      </c>
      <c r="Z263" s="22" t="s">
        <v>6</v>
      </c>
      <c r="AA263" s="22">
        <v>20</v>
      </c>
      <c r="AB263" s="22" t="s">
        <v>6</v>
      </c>
      <c r="AC263" s="22">
        <v>20</v>
      </c>
      <c r="AD263" s="22" t="s">
        <v>6</v>
      </c>
      <c r="AE263" s="22" t="s">
        <v>553</v>
      </c>
      <c r="AF263" s="22" t="s">
        <v>658</v>
      </c>
      <c r="AG263" s="22" t="s">
        <v>6</v>
      </c>
      <c r="AH263" s="30" t="b">
        <v>0</v>
      </c>
      <c r="AI263" s="22" t="s">
        <v>6</v>
      </c>
      <c r="AJ263" s="22" t="s">
        <v>659</v>
      </c>
    </row>
    <row r="264" spans="1:36" x14ac:dyDescent="0.25">
      <c r="A264" s="22" t="s">
        <v>759</v>
      </c>
      <c r="B264" s="22" t="s">
        <v>548</v>
      </c>
      <c r="C264" s="22">
        <v>1</v>
      </c>
      <c r="D264" s="22" t="s">
        <v>615</v>
      </c>
      <c r="E264" s="22" t="s">
        <v>552</v>
      </c>
      <c r="F264" s="22" t="s">
        <v>733</v>
      </c>
      <c r="G264" s="22" t="s">
        <v>6</v>
      </c>
      <c r="H264" s="22" t="s">
        <v>732</v>
      </c>
      <c r="I264" s="22" t="s">
        <v>558</v>
      </c>
      <c r="J264" s="22" t="s">
        <v>24</v>
      </c>
      <c r="K264" s="22" t="s">
        <v>6</v>
      </c>
      <c r="L264" s="22">
        <v>202</v>
      </c>
      <c r="M264" s="22">
        <v>202</v>
      </c>
      <c r="N264" s="22">
        <v>60</v>
      </c>
      <c r="O264" s="22">
        <v>155</v>
      </c>
      <c r="P264" s="23">
        <v>2</v>
      </c>
      <c r="Q264" s="22">
        <v>14</v>
      </c>
      <c r="R264" s="22">
        <v>14</v>
      </c>
      <c r="S264" s="22" t="s">
        <v>6</v>
      </c>
      <c r="T264" s="23">
        <v>1</v>
      </c>
      <c r="U264" s="22">
        <v>20</v>
      </c>
      <c r="V264" s="22">
        <v>20</v>
      </c>
      <c r="W264" s="22" t="s">
        <v>6</v>
      </c>
      <c r="X264" s="22" t="s">
        <v>205</v>
      </c>
      <c r="Y264" s="22" t="s">
        <v>27</v>
      </c>
      <c r="Z264" s="22" t="s">
        <v>6</v>
      </c>
      <c r="AA264" s="22">
        <f>100-92.8</f>
        <v>7.2000000000000028</v>
      </c>
      <c r="AB264" s="22" t="s">
        <v>6</v>
      </c>
      <c r="AC264" s="22">
        <v>20</v>
      </c>
      <c r="AD264" s="22" t="s">
        <v>6</v>
      </c>
      <c r="AE264" s="22" t="s">
        <v>657</v>
      </c>
      <c r="AF264" s="22" t="s">
        <v>658</v>
      </c>
      <c r="AG264" s="22" t="s">
        <v>6</v>
      </c>
      <c r="AH264" s="30" t="b">
        <v>0</v>
      </c>
      <c r="AI264" s="22" t="s">
        <v>6</v>
      </c>
      <c r="AJ264" s="22" t="s">
        <v>660</v>
      </c>
    </row>
    <row r="265" spans="1:36" x14ac:dyDescent="0.25">
      <c r="A265" s="22" t="s">
        <v>759</v>
      </c>
      <c r="B265" s="22" t="s">
        <v>548</v>
      </c>
      <c r="C265" s="22">
        <v>1</v>
      </c>
      <c r="D265" s="22" t="s">
        <v>615</v>
      </c>
      <c r="E265" s="22" t="s">
        <v>552</v>
      </c>
      <c r="F265" s="22" t="s">
        <v>733</v>
      </c>
      <c r="G265" s="22" t="s">
        <v>6</v>
      </c>
      <c r="H265" s="22" t="s">
        <v>732</v>
      </c>
      <c r="I265" s="22" t="s">
        <v>558</v>
      </c>
      <c r="J265" s="22" t="s">
        <v>774</v>
      </c>
      <c r="K265" s="22">
        <v>7</v>
      </c>
      <c r="L265" s="22">
        <v>58</v>
      </c>
      <c r="M265" s="22">
        <v>58</v>
      </c>
      <c r="N265" s="22">
        <v>60</v>
      </c>
      <c r="O265" s="22">
        <v>156</v>
      </c>
      <c r="P265" s="23">
        <v>1</v>
      </c>
      <c r="Q265" s="22">
        <v>15</v>
      </c>
      <c r="R265" s="22">
        <v>15</v>
      </c>
      <c r="S265" s="22">
        <v>15</v>
      </c>
      <c r="T265" s="23">
        <v>1</v>
      </c>
      <c r="U265" s="22">
        <v>20</v>
      </c>
      <c r="V265" s="22">
        <v>20</v>
      </c>
      <c r="W265" s="22">
        <v>20</v>
      </c>
      <c r="X265" s="22" t="s">
        <v>555</v>
      </c>
      <c r="Y265" s="22" t="s">
        <v>556</v>
      </c>
      <c r="Z265" s="22" t="s">
        <v>51</v>
      </c>
      <c r="AA265" s="24">
        <v>3.1547911547911598</v>
      </c>
      <c r="AB265" s="40">
        <f>(3.79-2.51)/2/1.96</f>
        <v>0.32653061224489804</v>
      </c>
      <c r="AC265" s="24">
        <v>3.5162790697674402</v>
      </c>
      <c r="AD265" s="44">
        <f>(4.06-2.94)/2/1.96</f>
        <v>0.28571428571428564</v>
      </c>
      <c r="AE265" s="22" t="s">
        <v>553</v>
      </c>
      <c r="AF265" s="22" t="s">
        <v>557</v>
      </c>
      <c r="AG265" s="22" t="s">
        <v>6</v>
      </c>
      <c r="AH265" s="30" t="b">
        <v>1</v>
      </c>
      <c r="AI265" s="22" t="s">
        <v>6</v>
      </c>
      <c r="AJ265" s="22" t="s">
        <v>674</v>
      </c>
    </row>
    <row r="266" spans="1:36" x14ac:dyDescent="0.25">
      <c r="A266" s="22" t="s">
        <v>759</v>
      </c>
      <c r="B266" s="22" t="s">
        <v>548</v>
      </c>
      <c r="C266" s="22">
        <v>1</v>
      </c>
      <c r="D266" s="22" t="s">
        <v>615</v>
      </c>
      <c r="E266" s="22" t="s">
        <v>552</v>
      </c>
      <c r="F266" s="22" t="s">
        <v>733</v>
      </c>
      <c r="G266" s="22" t="s">
        <v>6</v>
      </c>
      <c r="H266" s="22" t="s">
        <v>732</v>
      </c>
      <c r="I266" s="22" t="s">
        <v>558</v>
      </c>
      <c r="J266" s="22" t="s">
        <v>774</v>
      </c>
      <c r="K266" s="22">
        <v>7</v>
      </c>
      <c r="L266" s="22">
        <v>58</v>
      </c>
      <c r="M266" s="22">
        <v>58</v>
      </c>
      <c r="N266" s="22">
        <v>60</v>
      </c>
      <c r="O266" s="22">
        <v>156</v>
      </c>
      <c r="P266" s="23">
        <v>2</v>
      </c>
      <c r="Q266" s="22">
        <v>15</v>
      </c>
      <c r="R266" s="22">
        <v>15</v>
      </c>
      <c r="S266" s="22">
        <v>15</v>
      </c>
      <c r="T266" s="23">
        <v>1</v>
      </c>
      <c r="U266" s="22">
        <v>20</v>
      </c>
      <c r="V266" s="22">
        <v>20</v>
      </c>
      <c r="W266" s="22">
        <v>20</v>
      </c>
      <c r="X266" s="22" t="s">
        <v>555</v>
      </c>
      <c r="Y266" s="22" t="s">
        <v>556</v>
      </c>
      <c r="Z266" s="22" t="s">
        <v>51</v>
      </c>
      <c r="AA266" s="24">
        <v>3.6560196560196601</v>
      </c>
      <c r="AB266" s="40">
        <f>(4.19-3.1)/2/1.96</f>
        <v>0.27806122448979598</v>
      </c>
      <c r="AC266" s="24">
        <v>3.5162790697674402</v>
      </c>
      <c r="AD266" s="44">
        <f>(4.06-2.94)/2/1.96</f>
        <v>0.28571428571428564</v>
      </c>
      <c r="AE266" s="22" t="s">
        <v>657</v>
      </c>
      <c r="AF266" s="22" t="s">
        <v>557</v>
      </c>
      <c r="AG266" s="22" t="s">
        <v>6</v>
      </c>
      <c r="AH266" s="30" t="b">
        <v>1</v>
      </c>
      <c r="AI266" s="22" t="s">
        <v>6</v>
      </c>
      <c r="AJ266" s="22" t="s">
        <v>674</v>
      </c>
    </row>
    <row r="267" spans="1:36" x14ac:dyDescent="0.25">
      <c r="A267" s="22" t="s">
        <v>759</v>
      </c>
      <c r="B267" s="22" t="s">
        <v>548</v>
      </c>
      <c r="C267" s="22">
        <v>2</v>
      </c>
      <c r="D267" s="22" t="s">
        <v>615</v>
      </c>
      <c r="E267" s="22" t="s">
        <v>545</v>
      </c>
      <c r="F267" s="22" t="s">
        <v>38</v>
      </c>
      <c r="G267" s="22" t="s">
        <v>6</v>
      </c>
      <c r="H267" s="22" t="s">
        <v>728</v>
      </c>
      <c r="I267" s="22" t="s">
        <v>149</v>
      </c>
      <c r="J267" s="22" t="s">
        <v>24</v>
      </c>
      <c r="K267" s="22" t="s">
        <v>6</v>
      </c>
      <c r="L267" s="22">
        <v>45</v>
      </c>
      <c r="M267" s="22">
        <v>45</v>
      </c>
      <c r="N267" s="22">
        <v>61</v>
      </c>
      <c r="O267" s="22">
        <v>157</v>
      </c>
      <c r="P267" s="23">
        <v>1</v>
      </c>
      <c r="Q267" s="22">
        <v>16</v>
      </c>
      <c r="R267" s="22">
        <v>16</v>
      </c>
      <c r="S267" s="22" t="s">
        <v>6</v>
      </c>
      <c r="T267" s="23">
        <v>1</v>
      </c>
      <c r="U267" s="22">
        <v>20</v>
      </c>
      <c r="V267" s="22">
        <v>20</v>
      </c>
      <c r="W267" s="22" t="s">
        <v>6</v>
      </c>
      <c r="X267" s="22" t="s">
        <v>205</v>
      </c>
      <c r="Y267" s="22" t="s">
        <v>27</v>
      </c>
      <c r="Z267" s="22" t="s">
        <v>6</v>
      </c>
      <c r="AA267" s="22">
        <f>100-81.2</f>
        <v>18.799999999999997</v>
      </c>
      <c r="AB267" s="22" t="s">
        <v>6</v>
      </c>
      <c r="AC267" s="22">
        <f>100-20</f>
        <v>80</v>
      </c>
      <c r="AD267" s="22" t="s">
        <v>6</v>
      </c>
      <c r="AE267" s="22" t="s">
        <v>6</v>
      </c>
      <c r="AF267" s="22" t="s">
        <v>559</v>
      </c>
      <c r="AG267" s="22" t="s">
        <v>6</v>
      </c>
      <c r="AH267" s="30" t="b">
        <v>0</v>
      </c>
      <c r="AI267" s="22" t="s">
        <v>6</v>
      </c>
      <c r="AJ267" s="22" t="s">
        <v>560</v>
      </c>
    </row>
    <row r="268" spans="1:36" x14ac:dyDescent="0.25">
      <c r="A268" s="22" t="s">
        <v>759</v>
      </c>
      <c r="B268" s="22" t="s">
        <v>186</v>
      </c>
      <c r="C268" s="45">
        <v>1</v>
      </c>
      <c r="D268" s="22" t="s">
        <v>615</v>
      </c>
      <c r="E268" s="22" t="s">
        <v>575</v>
      </c>
      <c r="F268" s="22" t="s">
        <v>734</v>
      </c>
      <c r="G268" s="22" t="s">
        <v>6</v>
      </c>
      <c r="H268" s="22" t="s">
        <v>732</v>
      </c>
      <c r="I268" s="22" t="s">
        <v>570</v>
      </c>
      <c r="J268" s="22" t="s">
        <v>24</v>
      </c>
      <c r="K268" s="22" t="s">
        <v>6</v>
      </c>
      <c r="L268" s="22">
        <v>210</v>
      </c>
      <c r="M268" s="22">
        <v>210</v>
      </c>
      <c r="N268" s="22">
        <v>62</v>
      </c>
      <c r="O268" s="22">
        <v>158</v>
      </c>
      <c r="P268" s="23">
        <v>1</v>
      </c>
      <c r="Q268" s="22">
        <v>8</v>
      </c>
      <c r="R268" s="22">
        <v>8</v>
      </c>
      <c r="S268" s="22" t="s">
        <v>6</v>
      </c>
      <c r="T268" s="23">
        <v>1</v>
      </c>
      <c r="U268" s="22">
        <v>8</v>
      </c>
      <c r="V268" s="22">
        <v>8</v>
      </c>
      <c r="W268" s="22" t="s">
        <v>6</v>
      </c>
      <c r="X268" s="22" t="s">
        <v>205</v>
      </c>
      <c r="Y268" s="22" t="s">
        <v>27</v>
      </c>
      <c r="Z268" s="22" t="s">
        <v>6</v>
      </c>
      <c r="AA268" s="22">
        <f>0/8</f>
        <v>0</v>
      </c>
      <c r="AB268" s="22" t="s">
        <v>6</v>
      </c>
      <c r="AC268" s="22">
        <f>3/8%</f>
        <v>37.5</v>
      </c>
      <c r="AD268" s="22" t="s">
        <v>6</v>
      </c>
      <c r="AE268" s="22" t="s">
        <v>6</v>
      </c>
      <c r="AF268" s="22" t="s">
        <v>571</v>
      </c>
      <c r="AG268" s="22" t="s">
        <v>6</v>
      </c>
      <c r="AH268" s="30" t="b">
        <v>0</v>
      </c>
      <c r="AI268" s="22" t="s">
        <v>6</v>
      </c>
      <c r="AJ268" s="22" t="s">
        <v>572</v>
      </c>
    </row>
    <row r="269" spans="1:36" x14ac:dyDescent="0.25">
      <c r="A269" s="22" t="s">
        <v>759</v>
      </c>
      <c r="B269" s="22" t="s">
        <v>186</v>
      </c>
      <c r="C269" s="45">
        <v>1</v>
      </c>
      <c r="D269" s="22" t="s">
        <v>615</v>
      </c>
      <c r="E269" s="22" t="s">
        <v>575</v>
      </c>
      <c r="F269" s="22" t="s">
        <v>734</v>
      </c>
      <c r="G269" s="22" t="s">
        <v>6</v>
      </c>
      <c r="H269" s="22" t="s">
        <v>732</v>
      </c>
      <c r="I269" s="22" t="s">
        <v>570</v>
      </c>
      <c r="J269" s="22" t="s">
        <v>775</v>
      </c>
      <c r="K269" s="22">
        <v>30</v>
      </c>
      <c r="L269" s="22">
        <v>84</v>
      </c>
      <c r="M269" s="22">
        <v>35</v>
      </c>
      <c r="N269" s="22">
        <v>62</v>
      </c>
      <c r="O269" s="22">
        <v>159</v>
      </c>
      <c r="P269" s="23">
        <v>1</v>
      </c>
      <c r="Q269" s="22">
        <v>8</v>
      </c>
      <c r="R269" s="22">
        <v>8</v>
      </c>
      <c r="S269" s="22" t="s">
        <v>6</v>
      </c>
      <c r="T269" s="23">
        <v>1</v>
      </c>
      <c r="U269" s="22">
        <v>8</v>
      </c>
      <c r="V269" s="22">
        <v>8</v>
      </c>
      <c r="W269" s="22" t="s">
        <v>6</v>
      </c>
      <c r="X269" s="22" t="s">
        <v>302</v>
      </c>
      <c r="Y269" s="22" t="s">
        <v>27</v>
      </c>
      <c r="Z269" s="22" t="s">
        <v>6</v>
      </c>
      <c r="AA269" s="22">
        <f>7/8%</f>
        <v>87.5</v>
      </c>
      <c r="AB269" s="22" t="s">
        <v>6</v>
      </c>
      <c r="AC269" s="22">
        <f>8/8%</f>
        <v>100</v>
      </c>
      <c r="AD269" s="22" t="s">
        <v>6</v>
      </c>
      <c r="AE269" s="22" t="s">
        <v>6</v>
      </c>
      <c r="AF269" s="22" t="s">
        <v>571</v>
      </c>
      <c r="AG269" s="22" t="s">
        <v>6</v>
      </c>
      <c r="AH269" s="30" t="b">
        <v>0</v>
      </c>
      <c r="AI269" s="22" t="s">
        <v>6</v>
      </c>
      <c r="AJ269" s="22" t="s">
        <v>573</v>
      </c>
    </row>
    <row r="270" spans="1:36" x14ac:dyDescent="0.25">
      <c r="A270" s="22" t="s">
        <v>759</v>
      </c>
      <c r="B270" s="22" t="s">
        <v>186</v>
      </c>
      <c r="C270" s="45">
        <v>1</v>
      </c>
      <c r="D270" s="22" t="s">
        <v>615</v>
      </c>
      <c r="E270" s="22" t="s">
        <v>575</v>
      </c>
      <c r="F270" s="22" t="s">
        <v>734</v>
      </c>
      <c r="G270" s="22" t="s">
        <v>6</v>
      </c>
      <c r="H270" s="22" t="s">
        <v>732</v>
      </c>
      <c r="I270" s="22" t="s">
        <v>570</v>
      </c>
      <c r="J270" s="22" t="s">
        <v>774</v>
      </c>
      <c r="K270" s="22">
        <v>30</v>
      </c>
      <c r="L270" s="22">
        <v>119.875</v>
      </c>
      <c r="M270" s="22">
        <v>61.25</v>
      </c>
      <c r="N270" s="22">
        <v>62</v>
      </c>
      <c r="O270" s="22">
        <v>160</v>
      </c>
      <c r="P270" s="23">
        <v>1</v>
      </c>
      <c r="Q270" s="22">
        <v>8</v>
      </c>
      <c r="R270" s="22">
        <v>8</v>
      </c>
      <c r="S270" s="22">
        <v>8</v>
      </c>
      <c r="T270" s="23">
        <v>1</v>
      </c>
      <c r="U270" s="22">
        <v>8</v>
      </c>
      <c r="V270" s="22">
        <v>8</v>
      </c>
      <c r="W270" s="22">
        <v>8</v>
      </c>
      <c r="X270" s="22" t="s">
        <v>555</v>
      </c>
      <c r="Y270" s="22" t="s">
        <v>192</v>
      </c>
      <c r="Z270" s="22" t="s">
        <v>133</v>
      </c>
      <c r="AA270" s="34">
        <v>224.75</v>
      </c>
      <c r="AB270" s="34">
        <v>200.52979999999999</v>
      </c>
      <c r="AC270" s="34">
        <v>1830.875</v>
      </c>
      <c r="AD270" s="34">
        <v>1641.0201999999999</v>
      </c>
      <c r="AE270" s="43" t="s">
        <v>6</v>
      </c>
      <c r="AF270" s="22" t="s">
        <v>571</v>
      </c>
      <c r="AG270" s="22" t="s">
        <v>6</v>
      </c>
      <c r="AH270" s="30" t="b">
        <v>0</v>
      </c>
      <c r="AI270" s="22" t="s">
        <v>6</v>
      </c>
      <c r="AJ270" s="22" t="s">
        <v>574</v>
      </c>
    </row>
    <row r="271" spans="1:36" x14ac:dyDescent="0.25">
      <c r="A271" s="22" t="s">
        <v>759</v>
      </c>
      <c r="B271" s="22" t="s">
        <v>186</v>
      </c>
      <c r="C271" s="45">
        <v>2</v>
      </c>
      <c r="D271" s="22" t="s">
        <v>615</v>
      </c>
      <c r="E271" s="22" t="s">
        <v>575</v>
      </c>
      <c r="F271" s="22" t="s">
        <v>734</v>
      </c>
      <c r="G271" s="22" t="s">
        <v>6</v>
      </c>
      <c r="H271" s="22" t="s">
        <v>732</v>
      </c>
      <c r="I271" s="22" t="s">
        <v>570</v>
      </c>
      <c r="J271" s="22" t="s">
        <v>24</v>
      </c>
      <c r="K271" s="22" t="s">
        <v>6</v>
      </c>
      <c r="L271" s="22">
        <v>210</v>
      </c>
      <c r="M271" s="22">
        <v>210</v>
      </c>
      <c r="N271" s="22">
        <v>63</v>
      </c>
      <c r="O271" s="22">
        <v>161</v>
      </c>
      <c r="P271" s="23">
        <v>1</v>
      </c>
      <c r="Q271" s="22">
        <v>9</v>
      </c>
      <c r="R271" s="22">
        <v>9</v>
      </c>
      <c r="S271" s="22" t="s">
        <v>6</v>
      </c>
      <c r="T271" s="23">
        <v>1</v>
      </c>
      <c r="U271" s="22">
        <v>9</v>
      </c>
      <c r="V271" s="22">
        <v>9</v>
      </c>
      <c r="W271" s="22" t="s">
        <v>6</v>
      </c>
      <c r="X271" s="22" t="s">
        <v>205</v>
      </c>
      <c r="Y271" s="22" t="s">
        <v>27</v>
      </c>
      <c r="Z271" s="22" t="s">
        <v>6</v>
      </c>
      <c r="AA271" s="22">
        <f>9/9%</f>
        <v>100</v>
      </c>
      <c r="AB271" s="22" t="s">
        <v>6</v>
      </c>
      <c r="AC271" s="22">
        <f>9/9%</f>
        <v>100</v>
      </c>
      <c r="AD271" s="22" t="s">
        <v>6</v>
      </c>
      <c r="AE271" s="22" t="s">
        <v>6</v>
      </c>
      <c r="AF271" s="22" t="s">
        <v>571</v>
      </c>
      <c r="AG271" s="22" t="s">
        <v>6</v>
      </c>
      <c r="AH271" s="30" t="b">
        <v>0</v>
      </c>
      <c r="AI271" s="22" t="s">
        <v>6</v>
      </c>
      <c r="AJ271" s="22" t="s">
        <v>572</v>
      </c>
    </row>
    <row r="272" spans="1:36" x14ac:dyDescent="0.25">
      <c r="A272" s="22" t="s">
        <v>759</v>
      </c>
      <c r="B272" s="22" t="s">
        <v>186</v>
      </c>
      <c r="C272" s="45">
        <v>2</v>
      </c>
      <c r="D272" s="22" t="s">
        <v>615</v>
      </c>
      <c r="E272" s="22" t="s">
        <v>575</v>
      </c>
      <c r="F272" s="22" t="s">
        <v>734</v>
      </c>
      <c r="G272" s="22" t="s">
        <v>6</v>
      </c>
      <c r="H272" s="22" t="s">
        <v>732</v>
      </c>
      <c r="I272" s="22" t="s">
        <v>570</v>
      </c>
      <c r="J272" s="22" t="s">
        <v>775</v>
      </c>
      <c r="K272" s="22">
        <v>30</v>
      </c>
      <c r="L272" s="22">
        <v>42</v>
      </c>
      <c r="M272" s="22">
        <v>49</v>
      </c>
      <c r="N272" s="22">
        <v>63</v>
      </c>
      <c r="O272" s="22">
        <v>162</v>
      </c>
      <c r="P272" s="23">
        <v>1</v>
      </c>
      <c r="Q272" s="22">
        <v>9</v>
      </c>
      <c r="R272" s="22">
        <v>9</v>
      </c>
      <c r="S272" s="22" t="s">
        <v>6</v>
      </c>
      <c r="T272" s="23">
        <v>1</v>
      </c>
      <c r="U272" s="22">
        <v>6</v>
      </c>
      <c r="V272" s="22">
        <v>6</v>
      </c>
      <c r="W272" s="22" t="s">
        <v>6</v>
      </c>
      <c r="X272" s="22" t="s">
        <v>302</v>
      </c>
      <c r="Y272" s="22" t="s">
        <v>27</v>
      </c>
      <c r="Z272" s="22" t="s">
        <v>6</v>
      </c>
      <c r="AA272" s="22">
        <f>9/9%</f>
        <v>100</v>
      </c>
      <c r="AB272" s="22" t="s">
        <v>6</v>
      </c>
      <c r="AC272" s="22">
        <f>6/6%</f>
        <v>100</v>
      </c>
      <c r="AD272" s="22" t="s">
        <v>6</v>
      </c>
      <c r="AE272" s="22" t="s">
        <v>6</v>
      </c>
      <c r="AF272" s="22" t="s">
        <v>571</v>
      </c>
      <c r="AG272" s="22" t="s">
        <v>6</v>
      </c>
      <c r="AH272" s="30" t="b">
        <v>0</v>
      </c>
      <c r="AI272" s="22" t="s">
        <v>6</v>
      </c>
      <c r="AJ272" s="22" t="s">
        <v>573</v>
      </c>
    </row>
    <row r="273" spans="1:36" x14ac:dyDescent="0.25">
      <c r="A273" s="22" t="s">
        <v>759</v>
      </c>
      <c r="B273" s="22" t="s">
        <v>186</v>
      </c>
      <c r="C273" s="45">
        <v>2</v>
      </c>
      <c r="D273" s="22" t="s">
        <v>615</v>
      </c>
      <c r="E273" s="22" t="s">
        <v>575</v>
      </c>
      <c r="F273" s="22" t="s">
        <v>734</v>
      </c>
      <c r="G273" s="22" t="s">
        <v>6</v>
      </c>
      <c r="H273" s="22" t="s">
        <v>732</v>
      </c>
      <c r="I273" s="22" t="s">
        <v>570</v>
      </c>
      <c r="J273" s="22" t="s">
        <v>774</v>
      </c>
      <c r="K273" s="22">
        <v>30</v>
      </c>
      <c r="L273" s="22">
        <v>50.55556</v>
      </c>
      <c r="M273" s="22">
        <v>49</v>
      </c>
      <c r="N273" s="22">
        <v>63</v>
      </c>
      <c r="O273" s="22">
        <v>163</v>
      </c>
      <c r="P273" s="23">
        <v>1</v>
      </c>
      <c r="Q273" s="22">
        <v>9</v>
      </c>
      <c r="R273" s="22">
        <v>9</v>
      </c>
      <c r="S273" s="22">
        <v>9</v>
      </c>
      <c r="T273" s="23">
        <v>1</v>
      </c>
      <c r="U273" s="22">
        <v>9</v>
      </c>
      <c r="V273" s="22">
        <v>9</v>
      </c>
      <c r="W273" s="22">
        <v>9</v>
      </c>
      <c r="X273" s="22" t="s">
        <v>555</v>
      </c>
      <c r="Y273" s="22" t="s">
        <v>192</v>
      </c>
      <c r="Z273" s="22" t="s">
        <v>133</v>
      </c>
      <c r="AA273" s="34">
        <v>865</v>
      </c>
      <c r="AB273" s="34">
        <v>447.85660000000001</v>
      </c>
      <c r="AC273" s="34">
        <v>726.44439999999997</v>
      </c>
      <c r="AD273" s="34">
        <v>534.50419999999997</v>
      </c>
      <c r="AE273" s="43" t="s">
        <v>6</v>
      </c>
      <c r="AF273" s="22" t="s">
        <v>571</v>
      </c>
      <c r="AG273" s="22" t="s">
        <v>6</v>
      </c>
      <c r="AH273" s="30" t="b">
        <v>0</v>
      </c>
      <c r="AI273" s="22" t="s">
        <v>6</v>
      </c>
      <c r="AJ273" s="22" t="s">
        <v>574</v>
      </c>
    </row>
    <row r="274" spans="1:36" x14ac:dyDescent="0.25">
      <c r="A274" s="22" t="s">
        <v>759</v>
      </c>
      <c r="B274" s="22" t="s">
        <v>186</v>
      </c>
      <c r="C274" s="45">
        <v>3</v>
      </c>
      <c r="D274" s="22" t="s">
        <v>615</v>
      </c>
      <c r="E274" s="22" t="s">
        <v>575</v>
      </c>
      <c r="F274" s="22" t="s">
        <v>734</v>
      </c>
      <c r="G274" s="22" t="s">
        <v>6</v>
      </c>
      <c r="H274" s="22" t="s">
        <v>732</v>
      </c>
      <c r="I274" s="22" t="s">
        <v>570</v>
      </c>
      <c r="J274" s="22" t="s">
        <v>24</v>
      </c>
      <c r="K274" s="22" t="s">
        <v>6</v>
      </c>
      <c r="L274" s="22">
        <v>210</v>
      </c>
      <c r="M274" s="22">
        <v>210</v>
      </c>
      <c r="N274" s="22">
        <v>64</v>
      </c>
      <c r="O274" s="22">
        <v>164</v>
      </c>
      <c r="P274" s="23">
        <v>1</v>
      </c>
      <c r="Q274" s="22">
        <v>7</v>
      </c>
      <c r="R274" s="22">
        <v>7</v>
      </c>
      <c r="S274" s="22" t="s">
        <v>6</v>
      </c>
      <c r="T274" s="23">
        <v>1</v>
      </c>
      <c r="U274" s="22">
        <v>7</v>
      </c>
      <c r="V274" s="22">
        <v>7</v>
      </c>
      <c r="W274" s="22" t="s">
        <v>6</v>
      </c>
      <c r="X274" s="22" t="s">
        <v>205</v>
      </c>
      <c r="Y274" s="22" t="s">
        <v>27</v>
      </c>
      <c r="Z274" s="22" t="s">
        <v>6</v>
      </c>
      <c r="AA274" s="22">
        <f>3/7%</f>
        <v>42.857142857142854</v>
      </c>
      <c r="AB274" s="22" t="s">
        <v>6</v>
      </c>
      <c r="AC274" s="22">
        <f>7/7%</f>
        <v>99.999999999999986</v>
      </c>
      <c r="AD274" s="22" t="s">
        <v>6</v>
      </c>
      <c r="AE274" s="22" t="s">
        <v>6</v>
      </c>
      <c r="AF274" s="22" t="s">
        <v>571</v>
      </c>
      <c r="AG274" s="22" t="s">
        <v>6</v>
      </c>
      <c r="AH274" s="30" t="b">
        <v>0</v>
      </c>
      <c r="AI274" s="22" t="s">
        <v>6</v>
      </c>
      <c r="AJ274" s="22" t="s">
        <v>572</v>
      </c>
    </row>
    <row r="275" spans="1:36" x14ac:dyDescent="0.25">
      <c r="A275" s="22" t="s">
        <v>759</v>
      </c>
      <c r="B275" s="22" t="s">
        <v>186</v>
      </c>
      <c r="C275" s="45">
        <v>3</v>
      </c>
      <c r="D275" s="22" t="s">
        <v>615</v>
      </c>
      <c r="E275" s="22" t="s">
        <v>575</v>
      </c>
      <c r="F275" s="22" t="s">
        <v>734</v>
      </c>
      <c r="G275" s="22" t="s">
        <v>6</v>
      </c>
      <c r="H275" s="22" t="s">
        <v>732</v>
      </c>
      <c r="I275" s="22" t="s">
        <v>570</v>
      </c>
      <c r="J275" s="22" t="s">
        <v>775</v>
      </c>
      <c r="K275" s="22">
        <v>30</v>
      </c>
      <c r="L275" s="22">
        <v>154</v>
      </c>
      <c r="M275" s="22">
        <v>56</v>
      </c>
      <c r="N275" s="22">
        <v>64</v>
      </c>
      <c r="O275" s="22">
        <v>165</v>
      </c>
      <c r="P275" s="23">
        <v>1</v>
      </c>
      <c r="Q275" s="22">
        <v>1</v>
      </c>
      <c r="R275" s="22">
        <v>1</v>
      </c>
      <c r="S275" s="22" t="s">
        <v>6</v>
      </c>
      <c r="T275" s="23">
        <v>1</v>
      </c>
      <c r="U275" s="22">
        <v>3</v>
      </c>
      <c r="V275" s="22">
        <v>3</v>
      </c>
      <c r="W275" s="22" t="s">
        <v>6</v>
      </c>
      <c r="X275" s="22" t="s">
        <v>302</v>
      </c>
      <c r="Y275" s="22" t="s">
        <v>27</v>
      </c>
      <c r="Z275" s="22" t="s">
        <v>6</v>
      </c>
      <c r="AA275" s="22">
        <f>1/1%</f>
        <v>100</v>
      </c>
      <c r="AB275" s="22" t="s">
        <v>6</v>
      </c>
      <c r="AC275" s="22">
        <f>3/3%</f>
        <v>100</v>
      </c>
      <c r="AD275" s="22" t="s">
        <v>6</v>
      </c>
      <c r="AE275" s="22" t="s">
        <v>6</v>
      </c>
      <c r="AF275" s="22" t="s">
        <v>571</v>
      </c>
      <c r="AG275" s="22" t="s">
        <v>6</v>
      </c>
      <c r="AH275" s="30" t="b">
        <v>0</v>
      </c>
      <c r="AI275" s="22" t="s">
        <v>6</v>
      </c>
      <c r="AJ275" s="22" t="s">
        <v>573</v>
      </c>
    </row>
    <row r="276" spans="1:36" x14ac:dyDescent="0.25">
      <c r="A276" s="22" t="s">
        <v>759</v>
      </c>
      <c r="B276" s="22" t="s">
        <v>186</v>
      </c>
      <c r="C276" s="45">
        <v>3</v>
      </c>
      <c r="D276" s="22" t="s">
        <v>615</v>
      </c>
      <c r="E276" s="22" t="s">
        <v>575</v>
      </c>
      <c r="F276" s="22" t="s">
        <v>734</v>
      </c>
      <c r="G276" s="22" t="s">
        <v>6</v>
      </c>
      <c r="H276" s="22" t="s">
        <v>732</v>
      </c>
      <c r="I276" s="22" t="s">
        <v>570</v>
      </c>
      <c r="J276" s="22" t="s">
        <v>774</v>
      </c>
      <c r="K276" s="22">
        <v>30</v>
      </c>
      <c r="L276" s="22">
        <v>69</v>
      </c>
      <c r="M276" s="22">
        <v>48</v>
      </c>
      <c r="N276" s="22">
        <v>64</v>
      </c>
      <c r="O276" s="22">
        <v>166</v>
      </c>
      <c r="P276" s="23">
        <v>1</v>
      </c>
      <c r="Q276" s="22">
        <v>7</v>
      </c>
      <c r="R276" s="22">
        <v>7</v>
      </c>
      <c r="S276" s="22">
        <v>7</v>
      </c>
      <c r="T276" s="23">
        <v>1</v>
      </c>
      <c r="U276" s="22">
        <v>7</v>
      </c>
      <c r="V276" s="22">
        <v>7</v>
      </c>
      <c r="W276" s="22">
        <v>7</v>
      </c>
      <c r="X276" s="22" t="s">
        <v>555</v>
      </c>
      <c r="Y276" s="22" t="s">
        <v>192</v>
      </c>
      <c r="Z276" s="22" t="s">
        <v>133</v>
      </c>
      <c r="AA276" s="34">
        <v>1647.4286</v>
      </c>
      <c r="AB276" s="34">
        <v>1814.1186</v>
      </c>
      <c r="AC276" s="34">
        <v>75674.857099999994</v>
      </c>
      <c r="AD276" s="34">
        <v>193288.0846</v>
      </c>
      <c r="AE276" s="22" t="s">
        <v>6</v>
      </c>
      <c r="AF276" s="22" t="s">
        <v>571</v>
      </c>
      <c r="AG276" s="22" t="s">
        <v>6</v>
      </c>
      <c r="AH276" s="30" t="b">
        <v>0</v>
      </c>
      <c r="AI276" s="22" t="s">
        <v>6</v>
      </c>
      <c r="AJ276" s="22" t="s">
        <v>574</v>
      </c>
    </row>
  </sheetData>
  <sortState xmlns:xlrd2="http://schemas.microsoft.com/office/spreadsheetml/2017/richdata2" ref="A2:AJ276">
    <sortCondition ref="O1:O276"/>
  </sortState>
  <phoneticPr fontId="18" type="noConversion"/>
  <dataValidations count="5">
    <dataValidation allowBlank="1" showInputMessage="1" showErrorMessage="1" errorTitle="Invalid entry" error="Select one group from the list" sqref="AD23 AJ244:AJ245 AJ261:AJ262 AJ103 AE276:AE1048576 AE233:AE273 AI31:AI66 AI263:AI1048576 AJ67:AJ68 AI2:AI21 AI246:AI247 AJ248 AI68:AI102 AI249:AI260 AJ49:AJ52 AE2:AE230 AI104:AI243" xr:uid="{A8AB14DE-57D3-42AE-B87A-300E02DE8F22}"/>
    <dataValidation type="list" allowBlank="1" showInputMessage="1" showErrorMessage="1" sqref="AD23 AE276:AE1048576 AE233:AE273 AE2:AE230" xr:uid="{824BB73B-7075-D648-9195-78DFECE14623}">
      <formula1>"standard_error, standard_deviation, confidence_interval, NA"</formula1>
    </dataValidation>
    <dataValidation type="list" allowBlank="1" showInputMessage="1" showErrorMessage="1" sqref="Z27:Z28 Z178 Z187 Z196 Z67:Z142 Z30:Z52 Z7:Z25 Z1 Z3:Z4 Z55:Z64 Z202:Z215 Z217:Z218 Z220:Z256 Z259:Z262 Z265:Z1048576" xr:uid="{E09337A2-A153-BE4E-8E2B-BF99BB23BCED}">
      <formula1>"SD, SE, 95%CI, NA"</formula1>
    </dataValidation>
    <dataValidation type="list" allowBlank="1" showInputMessage="1" showErrorMessage="1" sqref="D1:D1048576" xr:uid="{A78EC0B7-5BF2-4C4B-9FF8-3FFEC446808E}">
      <formula1>"live_pathogen, dead_pathogen, natural_chem, synthetic_antiparastics, probiotic, other"</formula1>
    </dataValidation>
    <dataValidation type="list" allowBlank="1" showInputMessage="1" showErrorMessage="1" sqref="J1:J1048576" xr:uid="{687955AF-6943-8848-87F2-E603FEB67DA0}">
      <formula1>"mortality, prevalence_average, prevalence_peak, prevalence_other, intensity_average, intensity_peak, intensity_other"</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key</vt:lpstr>
      <vt:lpstr>study_info</vt:lpstr>
      <vt:lpstr>trait_info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Patrice Pottier</dc:creator>
  <cp:keywords/>
  <dc:description/>
  <cp:lastModifiedBy>Joseph.Chung</cp:lastModifiedBy>
  <cp:revision/>
  <dcterms:created xsi:type="dcterms:W3CDTF">2024-06-05T05:25:26Z</dcterms:created>
  <dcterms:modified xsi:type="dcterms:W3CDTF">2026-07-14T23:46:00Z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f6fef03-d487-4433-8e43-6b81c0a1b7be_Enabled">
    <vt:lpwstr>true</vt:lpwstr>
  </property>
  <property fmtid="{D5CDD505-2E9C-101B-9397-08002B2CF9AE}" pid="3" name="MSIP_Label_bf6fef03-d487-4433-8e43-6b81c0a1b7be_SetDate">
    <vt:lpwstr>2025-06-30T01:02:23Z</vt:lpwstr>
  </property>
  <property fmtid="{D5CDD505-2E9C-101B-9397-08002B2CF9AE}" pid="4" name="MSIP_Label_bf6fef03-d487-4433-8e43-6b81c0a1b7be_Method">
    <vt:lpwstr>Standard</vt:lpwstr>
  </property>
  <property fmtid="{D5CDD505-2E9C-101B-9397-08002B2CF9AE}" pid="5" name="MSIP_Label_bf6fef03-d487-4433-8e43-6b81c0a1b7be_Name">
    <vt:lpwstr>Unclassified</vt:lpwstr>
  </property>
  <property fmtid="{D5CDD505-2E9C-101B-9397-08002B2CF9AE}" pid="6" name="MSIP_Label_bf6fef03-d487-4433-8e43-6b81c0a1b7be_SiteId">
    <vt:lpwstr>1daf5147-a543-4707-a2fb-2acf0b2a3936</vt:lpwstr>
  </property>
  <property fmtid="{D5CDD505-2E9C-101B-9397-08002B2CF9AE}" pid="7" name="MSIP_Label_bf6fef03-d487-4433-8e43-6b81c0a1b7be_ActionId">
    <vt:lpwstr>bad4a320-d925-4103-87f2-82edea2c4668</vt:lpwstr>
  </property>
  <property fmtid="{D5CDD505-2E9C-101B-9397-08002B2CF9AE}" pid="8" name="MSIP_Label_bf6fef03-d487-4433-8e43-6b81c0a1b7be_ContentBits">
    <vt:lpwstr>0</vt:lpwstr>
  </property>
  <property fmtid="{D5CDD505-2E9C-101B-9397-08002B2CF9AE}" pid="9" name="MSIP_Label_bf6fef03-d487-4433-8e43-6b81c0a1b7be_Tag">
    <vt:lpwstr>50, 3, 0, 1</vt:lpwstr>
  </property>
</Properties>
</file>